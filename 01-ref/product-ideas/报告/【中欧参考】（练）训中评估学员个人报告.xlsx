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张鰆丹\Desktop\重要-AI实验室\20 项目综合分析样例参考\"/>
    </mc:Choice>
  </mc:AlternateContent>
  <xr:revisionPtr revIDLastSave="0" documentId="13_ncr:1_{A277FAC9-3D3F-48CD-8E00-6D262E686D61}" xr6:coauthVersionLast="47" xr6:coauthVersionMax="47" xr10:uidLastSave="{00000000-0000-0000-0000-000000000000}"/>
  <bookViews>
    <workbookView xWindow="-98" yWindow="-98" windowWidth="19396" windowHeight="11475" activeTab="2" xr2:uid="{00000000-000D-0000-FFFF-FFFF00000000}"/>
  </bookViews>
  <sheets>
    <sheet name="吴同学" sheetId="23" r:id="rId1"/>
    <sheet name="俞同学" sheetId="18" r:id="rId2"/>
    <sheet name="鲁同学" sheetId="20" r:id="rId3"/>
    <sheet name="评分表-专业" sheetId="6" state="hidden" r:id="rId4"/>
  </sheets>
  <definedNames>
    <definedName name="_xlnm._FilterDatabase" localSheetId="3" hidden="1">'评分表-专业'!$A$1:$P$50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0" i="6" l="1"/>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alcChain>
</file>

<file path=xl/sharedStrings.xml><?xml version="1.0" encoding="utf-8"?>
<sst xmlns="http://schemas.openxmlformats.org/spreadsheetml/2006/main" count="473" uniqueCount="231">
  <si>
    <t>瞿席燕</t>
  </si>
  <si>
    <t>部门</t>
  </si>
  <si>
    <t>性别</t>
  </si>
  <si>
    <t>年龄</t>
  </si>
  <si>
    <t>职务</t>
  </si>
  <si>
    <t>任现职年限</t>
  </si>
  <si>
    <t>阅读说明</t>
  </si>
  <si>
    <t>姓名</t>
  </si>
  <si>
    <t>司龄(年）</t>
  </si>
  <si>
    <t>财务经营部</t>
  </si>
  <si>
    <t>财务管理师</t>
  </si>
  <si>
    <t>女</t>
  </si>
  <si>
    <t>张安超</t>
  </si>
  <si>
    <t>部长</t>
  </si>
  <si>
    <t>男</t>
  </si>
  <si>
    <t>孙媛</t>
  </si>
  <si>
    <t>党建组织部</t>
  </si>
  <si>
    <t>人力资源高级主管</t>
  </si>
  <si>
    <t>柏蓓</t>
  </si>
  <si>
    <t>采访部</t>
  </si>
  <si>
    <t>主任编辑</t>
  </si>
  <si>
    <t>文字</t>
  </si>
  <si>
    <t>李欣阳</t>
  </si>
  <si>
    <t>品牌文化中心</t>
  </si>
  <si>
    <t>副主任编辑</t>
  </si>
  <si>
    <t>刘晓雨</t>
  </si>
  <si>
    <t>数字传播部</t>
  </si>
  <si>
    <t>见习美术编辑</t>
  </si>
  <si>
    <t>美术</t>
  </si>
  <si>
    <t>摄影</t>
  </si>
  <si>
    <t>阳庭庭</t>
  </si>
  <si>
    <t>文化创意部</t>
  </si>
  <si>
    <t>主任策划师</t>
  </si>
  <si>
    <t>卢之萍</t>
  </si>
  <si>
    <t>姜笑</t>
  </si>
  <si>
    <t>陈伟宁</t>
  </si>
  <si>
    <t>颜康植</t>
  </si>
  <si>
    <t>管超</t>
  </si>
  <si>
    <t>主任编导</t>
  </si>
  <si>
    <t>编导</t>
  </si>
  <si>
    <t>视频</t>
  </si>
  <si>
    <t>刘伟</t>
  </si>
  <si>
    <t>见习记者</t>
  </si>
  <si>
    <t>庄敏</t>
  </si>
  <si>
    <t>副部长</t>
  </si>
  <si>
    <t>赵婷婷</t>
  </si>
  <si>
    <t>助理编辑</t>
  </si>
  <si>
    <t>华思清</t>
  </si>
  <si>
    <t>影像传播中心</t>
  </si>
  <si>
    <t>见习摄影记者</t>
  </si>
  <si>
    <t>刘影</t>
  </si>
  <si>
    <t>党建组织部（综合管理部）</t>
  </si>
  <si>
    <t>高级经理</t>
  </si>
  <si>
    <t>郭秋阳</t>
  </si>
  <si>
    <t>策划员</t>
  </si>
  <si>
    <t>林喆</t>
  </si>
  <si>
    <t>总编室（编辑部）</t>
  </si>
  <si>
    <t>副主任</t>
  </si>
  <si>
    <t>欧阳亮</t>
  </si>
  <si>
    <t>郑小芳</t>
  </si>
  <si>
    <t>王脊梁</t>
  </si>
  <si>
    <t>摄影美术部</t>
  </si>
  <si>
    <t>主任记者</t>
  </si>
  <si>
    <t>廖天航</t>
  </si>
  <si>
    <t>助理记者</t>
  </si>
  <si>
    <t>许潇</t>
  </si>
  <si>
    <t>李琰</t>
  </si>
  <si>
    <t>张竞霄</t>
  </si>
  <si>
    <t>副主任编导</t>
  </si>
  <si>
    <t>张凯敏</t>
  </si>
  <si>
    <t>专业方向</t>
  </si>
  <si>
    <t>序号</t>
  </si>
  <si>
    <t>面谈日期</t>
  </si>
  <si>
    <t>面谈时间</t>
  </si>
  <si>
    <t>总分</t>
  </si>
  <si>
    <t>专业广度</t>
  </si>
  <si>
    <t>专业深度</t>
  </si>
  <si>
    <t>专业创新性</t>
  </si>
  <si>
    <r>
      <rPr>
        <b/>
        <sz val="10"/>
        <color theme="1"/>
        <rFont val="微软雅黑"/>
        <family val="2"/>
        <charset val="134"/>
      </rPr>
      <t>面谈评语
根据面谈情况，简要总结员工在专业技术能力上的</t>
    </r>
    <r>
      <rPr>
        <b/>
        <sz val="10"/>
        <color rgb="FFFF0000"/>
        <rFont val="微软雅黑"/>
        <family val="2"/>
        <charset val="134"/>
      </rPr>
      <t>优势点、待提升点、未来提升/发展建议</t>
    </r>
  </si>
  <si>
    <t>14:00-14:30</t>
  </si>
  <si>
    <t>· 优势：专业熟悉、业务能力强
· 待发展：视野要扩大，更多关注前沿
· 建议：观摩相关新作品</t>
  </si>
  <si>
    <t>14:30-15:00</t>
  </si>
  <si>
    <t>· 优势：熟悉文字
· 待发展：编导基础技能要加强
· 建议：实践</t>
  </si>
  <si>
    <t>管理条线-人力资源</t>
  </si>
  <si>
    <t>13:40-14:20</t>
  </si>
  <si>
    <t>5年人力资源管理工作经验，担任人力资源负责人以来进行了多项改革，涉及薪酬与激励改革、干部管理与考核、招聘与人才评估。对于公司的整体运营理解较为深刻，能够从激活组织的角度实施和推动改革。从创新性上面来讲，推出了五维人才测评模型，创新性地从多角度评估人才，帮助公司在招聘和任用上科学选人。对于党建工作、行政管理、采购、供应商管理、安全生产等领域有着明确的责任划分和管理措施。整体较为全面，并有管理高度。在人力资源专业上进一步提升的点是，组织诊断、人岗匹配、员工发展与培训。</t>
  </si>
  <si>
    <t>10:30-11:10</t>
  </si>
  <si>
    <t>08开始从事人力资源工作，工作覆盖面较广，专业能力全面，基础人力工作、人力资源战略规划、组织架构设计及职能调整、绩效与考核体系改革等方面表现出色。敬业度高，自我要求高，有极强的能力迭代意识。目前组织方面在推动经营模式转型，业务探索期的人岗适配是关键，在关键岗位人才配置和培训开发的专业能力尚需加强。</t>
  </si>
  <si>
    <t>管理条线-行政管理</t>
  </si>
  <si>
    <t>13:20-13:40</t>
  </si>
  <si>
    <t>对行政管理工作兴趣不大，对于行政管理工作相关挑战有一定了解，例如统筹管理、资源协调、突发事件应对等。人选有亲和力、执行力不错，但对她而言沟通协调工作会有一定的挑战。比较关注工作提效，但具体的创新思考和应用实践缺乏。</t>
  </si>
  <si>
    <t>14:20-14:40</t>
  </si>
  <si>
    <t>思维很活跃，对于自己当前从事的岗位有深度的思考，能够从公司经营层面出发进行思考和提升，对于行政工作的认知和定位是清晰的。能力匹配度上面来看，优势很鲜明，理解业务和助力业务，劣势也很明显，对于行政管理工作的具体任务、挑战、需要具备的技能暂时不太清晰，没有意愿。</t>
  </si>
  <si>
    <t>14:40-15:00</t>
  </si>
  <si>
    <t>从事过近4年行政管理岗位，面对多且繁杂的行政管理工作，有计划性、统筹性、推动力，具备基本技能，擅长沟通协调，对行政管理工作有兴趣，能够复盘总结和提升，全面性不错，高度还有待提升。能够结合数字化的工具和方法，思考流程提效，有创新意识。</t>
  </si>
  <si>
    <t>14:20-15:00</t>
  </si>
  <si>
    <t>非典型行政管理，人选为业务出身，过去从事过记者站、报刊杂志的经营管理工作，思考问题的逻辑比较业务导向，思维比较活跃，沟通比较跳脱。加入杂志社以后主要精力在公共关系、法务、采购、品牌管理、知识产权和数字化转型等。资源统筹能力、对内对外的沟通协调能力较为不错。优势在于整合资源，不过在行政管理落地细节上面有待加强，提升行政工作的系统性。</t>
  </si>
  <si>
    <t>较为注重工作计划与成果管理，对于紧急问题的处理和资源调配高效及时，已经对采购管理的实施细则、公司的采购通则进行了细致的定义，确保了流程的规范性和操作的透明度。推动三重一大，确保了高层决策和制度流程体系的规范化，体现了一定的管理高度。创新思维和跨部门协作的推动还可进一步加强。加强供应商资源拓展，提升采购效率。</t>
  </si>
  <si>
    <t>管理条线-战略计划</t>
  </si>
  <si>
    <t>13:00-13:20</t>
  </si>
  <si>
    <t>目前从事助理记者的工作，参加工作时间不长，整体比较稚嫩，对于公司的战略规划有兴趣，但没有参与过相关工作，对于战略计划缺乏了解，知识技能积累和经验尚浅。在从事记者工作的过程中能够有意识地收集信息和理解公司的战略，对于客户、供应商的业务和发展进行过一定的思考。沟通表达能力、数据分析能力较好，成长性不错，暂时和战略计划的工作还有相当大的差距。</t>
  </si>
  <si>
    <t>经营条线-财务管理</t>
  </si>
  <si>
    <t>13:00-13:40</t>
  </si>
  <si>
    <t>人选有会计从业资格证，在备考中级会计师，有较为丰富的财务工作经验，对于报销、税务、审计和内控都有涉猎，基础领域和操作层面具有较强的全面性；三表的基本逻辑了解，经营分析较浅；创新业务应该搭建财务模型，进行分析和控制。有系统上线经验，且负责了财务系统上线的推动协调，推动业务流程优化，有创新意识。需要加强对财务数据的深度挖掘和高层决策的支持。持续学习，并进行专业认证，基于新业务拓展行业视野。</t>
  </si>
  <si>
    <t>经营条线-采购</t>
  </si>
  <si>
    <t>9:50-10:30</t>
  </si>
  <si>
    <t>目前从事采购工作，从需求方转实施方，采购经验主要来自于经验积累，较为熟悉采购流程和基本的知识框架，能够处理常规采购任务，在供应商开发与管理的深度和体系化上有所欠缺，清晰认识到当前采购工作的核心矛盾（如供应商库不足、价格把控困难），需要针对业务需求，提升采购业务规划能力，扩充供应商库，提升议价能力。</t>
  </si>
  <si>
    <t>在采购工作中展现出来的专业技能还是比较全面和有针对性的，针对当前遇到的主要卡点进行了供应商库的扩充，工程塑料飞机模型的采购案例可以看出，供应商招投标、价格谈判及质量把控上有一定的经验。非采购专业出身，采购的策略性、系统性有待提升。</t>
  </si>
  <si>
    <t>经营条线-市场</t>
  </si>
  <si>
    <t>13:40-14:00</t>
  </si>
  <si>
    <t>人选有2年市场营销的工作经验，能够从产品策划、品牌联动出发进行市场营销工作规划，对于价格体系也有不错的思考，市场营销工作的知识框架是不错的，但主要靠个人总结，没有经过系统性训练，对于事件营销，掌握了不错的技能，有创新思维。对于新技术是敏锐的，有学习和主动提升的意识。</t>
  </si>
  <si>
    <t>14:00-14:20</t>
  </si>
  <si>
    <t>没有市场相关工作经验，但对于市场工作有不错的认知和理解，具备从事相关工作的基础。基于新媒体工作的基础，品牌和内容营销的能力较为不错，市场工作全局观需要提升。对于创新有一定的概念，更为具体的思考和应用有待提升。学习和适应能力较好。</t>
  </si>
  <si>
    <t>15:40-16:20</t>
  </si>
  <si>
    <t>目前负责文创产品微店运营工作，工作覆盖面比较广，营销推广、用户数据分析、供应商对接、仓库管理都有涉及，但相对浅。尝试进行过微店引流的工作，但因为政策限制，未持续进行。目前该工作比较大的gap是，没有明确的销售指标考核，营销推广工作也受到较多的限制，包括预算、政策等。待提升点包括：加强数据驱动决策，优化营销方案；系统化营销策略，制定更长期、更系统的推广计划；创新渠道拓展，打开文创产品的销售思路。</t>
  </si>
  <si>
    <t>经营条线-项目管理</t>
  </si>
  <si>
    <t>9:30-9:50</t>
  </si>
  <si>
    <t>人选过往主要从事文字编辑和摄影记者的工作，负责过航空展报道的项目管理工作，品牌文化中心的项目工作在开展中，这个项目涉及工业旅游、品牌文化建设、历史资料整理和讲解员培训等多模块的工作。人选在项目规划能力、跨部门沟通协调能力、细节管理与执行能力等较为成熟，知识技能全面。在项目的长期规划和风险管理方面需要进行思考。</t>
  </si>
  <si>
    <t>15:20-15:40</t>
  </si>
  <si>
    <t>项目管理经验丰富，个人在摸索中成长，多项目并行的情况较多，现有资源紧张，工作压力较大。对于项目管理的方法论有一定理解，系统性和高度有待提升。个人沟通协调推动的能力较为不错，善于复盘和思考，扎根业务、理解业务，对于ip运营及对公司文化传播的支撑有较好的认知和理解。部门规划紧贴公司战略和转型需要，产品的市场化及营销规划有待提升。</t>
  </si>
  <si>
    <t>有财务系统上线经验，涉及项目统筹推进和跨部门协调，在信息系统和流程优化有一定的经验积累，项目管理基础能力、跨部门协调与沟通能力、项目执行力较好，在项目的创新性、风险管理以及项目管理工具应用等方面尚有提升空间。</t>
  </si>
  <si>
    <t>飞机模型项目为例，统筹项目前期规划到执行落地，项目统筹力、资源协调和推动能力、项目执行能力有较好的展现，能够基于审计的合规要求，包括质量和成本的平衡，思考产品的产业化和品牌文化价值，有不错的商业化思维。</t>
  </si>
  <si>
    <t>复盘了一个千岛湖膏方项目，从选型、生产到品牌推广都参与其中，体现了对项目全生命周期的把控，对商飞文创产品的展示与小型营销活动有清晰的执行规划。能够积极协调项目资源，确保项目有序推进。需要进一步提升资源整合能力，更有经营思考和目标感。</t>
  </si>
  <si>
    <t>在《人类的翅膀》项目中展现了扎实的项目管理能力，项目全流程管理、资源协调、问题解决能力有较好的体现，能够在航空发展简史这一专业领域整合专家资源进行深度把控，展现了经营思考和专业高度。未来如继续项目管理相关工作，要进一步加强项目统筹规划，制定更长远的项目发展规划，加强商业化运作。</t>
  </si>
  <si>
    <t>13:00-13:30</t>
  </si>
  <si>
    <t>· 优势：对美术编辑的基本性工作具有一定基础和能力，能较全面地运用设计元素表达主题性内容，对设计主题性语言的拓展有一定聚焦性的表现力。
· 待发展：在设计主题风格表现中的高端主题内容演绎等方面有待提高，同时需要加强人文风格内涵的提炼和主导性表现、追求高端品质感的设计表现风格。</t>
  </si>
  <si>
    <t>13:30-14:00</t>
  </si>
  <si>
    <t>· 优势：对整体内容的编辑和专业系统的把控具有较好执行力，能较好的承担和推进文化创意内容的统编与成效，在刊物风格和专业传播内容的效能等方面具有良好的执行力保障。
· 待发展：建议进一步加强高端内容设计的风格性品质，加强人文风格内涵的提炼和主导性表现，追求高端品质感的刊物及物品的特色风格。</t>
  </si>
  <si>
    <t>10:00-10:20</t>
  </si>
  <si>
    <t>刘晓宇同志能适应数字传播和新媒体工作，希望加强学习，提高业务能力，更好的为商飞新媒体服务。在版面编排设计、美术、制图等方面提高业务能力，更好的适应新媒体需求。</t>
  </si>
  <si>
    <t>10:20-10:40</t>
  </si>
  <si>
    <t>赵婷婷同志在数字媒体传播上有一套自己的想法，有创新、有创意。在编辑方面有思考，该同志热爱商飞，热爱商飞媒体，积极向上，性格阳光、工作认真。新闻中心要对该同志重点培养提拔使用。希望小赵同志在编辑岗位上适应新时代，适应新媒体。将新技术运用到实践工作当中，更好的为中国商飞数字传播和融媒体建设提供有意义的、可操作性的实战经验。</t>
  </si>
  <si>
    <t>10:40-11:00</t>
  </si>
  <si>
    <t>卢之萍同志懂专业，实践能力强，有自己的想法，能独立完成编辑设计任务，希望再接再厉，为商会服务好。</t>
  </si>
  <si>
    <t>11:00-11:20</t>
  </si>
  <si>
    <t>该同志照片总体拍的还是不错的，今后希望提高摄影理论、摄影技巧，研究在各种多变的环境中摄影可操作性，不断研究人像摄影、工业摄影、活动摄影和大飞机摄影的专业技术，提高自己专业水平。</t>
  </si>
  <si>
    <t>11:30-11:50</t>
  </si>
  <si>
    <t>该同志有丰富的影像和编导经验，能胜任本职工作。希望在本职岗位上，认真总结大飞机影像记录特点。用自己的长期积累的工作影像和资料完成大飞机“自己的记录片”，传播和纪录好大飞机发展的过程。</t>
  </si>
  <si>
    <t>11:50-12:10</t>
  </si>
  <si>
    <t>小刘同志刚入职时间不长，要谦虚谨慎，认真学习。向老同志学习，向有经验的老师学习。要热爱本职工作。深入一线采访，用心灵，用思想，用智慧，讲好大飞机的故事。</t>
  </si>
  <si>
    <t>15:30-16:00</t>
  </si>
  <si>
    <t>王脊梁
（线上）</t>
  </si>
  <si>
    <t>王脊梁同志技术成熟，长期拍摄领导和重大活动，拍摄重要生产，重要接待等任务完成的非常好。本人有意提高并加强整个商飞摄影队伍的建设，建议做好摄影理论和大飞机摄影理论的总结，因为大飞机摄影是一个专业摄影加新闻摄影加工业摄影的复杂摄影体系，希望在理论实践中总结一套成熟的理论和实践经验留下来。</t>
  </si>
  <si>
    <t>能与时俱进地学习和在实践中尝试，影像产品制作有特点，创新意识比较强，推动了在新兴媒介上商飞形象的发展。</t>
  </si>
  <si>
    <t>摄影科班，在发挥长项的同时，提高文案写作和后期制作的能力，是带动集体专业进步不可或缺的成员。</t>
  </si>
  <si>
    <t>多年来任劳任怨地努力完成交办的任务，影像摄制和组织作业两方面齐头并进，是商飞内外宣的支柱性人物。</t>
  </si>
  <si>
    <t>15:00-15:30</t>
  </si>
  <si>
    <t>服从机构的职责调配，努力学习和不断提升新岗位的专业技能，在运营管理方面也有发展潜力。</t>
  </si>
  <si>
    <t>长期在一线努力完成宣传任务，不畏困难和艰苦，不断提高拍摄和制作水准。具有较强的沟通和协调能力，在现有条件和环境制约下，能积极尝试变通和突破的可能。</t>
  </si>
  <si>
    <t>具有扎实的新闻理论与实践基础，业务能力突出，统筹能力强。</t>
  </si>
  <si>
    <t>工作热情高，有深入一线的强烈愿望。在新闻采写能力上略有欠缺，可以在实战中继续磨炼业务，夯实基础。</t>
  </si>
  <si>
    <t>新闻业务能力突出，体现了较高的采写水平，对企业的热点事件和新闻线索具有敏锐的洞察力。稿件文风稳健，条理清晰，逻辑严密。在文字表达上，能准确把握企业文化的精髓。</t>
  </si>
  <si>
    <t>能够迅速捕捉到有价值的新闻素材，在公众号的运营上平衡好热度与尺度的关系。积极参与编辑团队的讨论与交流，展现了良好的团队协作精神。</t>
  </si>
  <si>
    <t>工作态度扎实，沟通能力强，可继续在主动策划方面再上层楼。</t>
  </si>
  <si>
    <t>工作热情高，在公众号的内容编排上有着独到的见解，希望鼓励年轻人加大创新力度，紧抓热点，扩大企业在社会层面的美誉度。</t>
  </si>
  <si>
    <t>15:10-15:30</t>
  </si>
  <si>
    <t>专业能力扎实，极大地提升了杂志的吸引力和影响力。在扩大外部影响上还有更多的发挥空间。</t>
  </si>
  <si>
    <t>15:30-15:50</t>
  </si>
  <si>
    <t>在团队工作中，积极主动，乐于分享，能够与其他编辑和记者有效沟通，共同解决编辑过程中遇到的问题。</t>
  </si>
  <si>
    <t>15:50-16:10</t>
  </si>
  <si>
    <t>不仅专业扎实，对采编工作长期抱有热忱的态度， 对企业内部的新闻事件和行业动态保持高度关注；在编辑工作中，细致审阅，严格把关，确保稿件质量。建议提供更大的舞台，让长期处于编审一线的专业人才也有时间和精力去采写深度报道。</t>
  </si>
  <si>
    <t>16:10-16:30</t>
  </si>
  <si>
    <t>工作态度诚恳、热情，采编基础好，沟通协调能力突出。</t>
  </si>
  <si>
    <t>16:30-16:50</t>
  </si>
  <si>
    <t>积极参与编辑团队的讨论与交流，与其他编辑共同推进报纸采编工作，展现了良好的团队协作精神。</t>
  </si>
  <si>
    <t>16:50-17:10</t>
  </si>
  <si>
    <t>文字基本功扎实， 有提升业务的强烈需求，建议提供更多重头报道的报道机会。</t>
  </si>
  <si>
    <t>19:00-19:30</t>
  </si>
  <si>
    <t>善于沟通，加强与各个单位部门的联络沟通，工作态度积极向上。期待有更多培训的机会，培养新媒体采编思维。</t>
  </si>
  <si>
    <t>能力报告</t>
    <phoneticPr fontId="14" type="noConversion"/>
  </si>
  <si>
    <t>岗位</t>
    <phoneticPr fontId="14" type="noConversion"/>
  </si>
  <si>
    <t>年龄</t>
    <phoneticPr fontId="14" type="noConversion"/>
  </si>
  <si>
    <t>司龄</t>
    <phoneticPr fontId="14" type="noConversion"/>
  </si>
  <si>
    <t>学历</t>
    <phoneticPr fontId="14" type="noConversion"/>
  </si>
  <si>
    <t>毕业院校</t>
    <phoneticPr fontId="14" type="noConversion"/>
  </si>
  <si>
    <t>所属单位</t>
    <phoneticPr fontId="14" type="noConversion"/>
  </si>
  <si>
    <t>能力详情</t>
    <phoneticPr fontId="14" type="noConversion"/>
  </si>
  <si>
    <t>· 本报告中的能力评价仅来源于本次“战略预备队”培养项目所获取的信息，人才能力存在动态变化，建议用发展的眼光看待报告结果。</t>
    <phoneticPr fontId="14" type="noConversion"/>
  </si>
  <si>
    <t>个人信息</t>
    <phoneticPr fontId="14" type="noConversion"/>
  </si>
  <si>
    <t>组别</t>
    <phoneticPr fontId="14" type="noConversion"/>
  </si>
  <si>
    <t>课题方向</t>
    <phoneticPr fontId="14" type="noConversion"/>
  </si>
  <si>
    <t>待发展项</t>
    <phoneticPr fontId="14" type="noConversion"/>
  </si>
  <si>
    <t>发展建议</t>
    <phoneticPr fontId="14" type="noConversion"/>
  </si>
  <si>
    <t>优势项</t>
    <phoneticPr fontId="14" type="noConversion"/>
  </si>
  <si>
    <t>整体表现</t>
    <phoneticPr fontId="14" type="noConversion"/>
  </si>
  <si>
    <t>表现综述</t>
    <phoneticPr fontId="14" type="noConversion"/>
  </si>
  <si>
    <t>战略推动</t>
  </si>
  <si>
    <t>创新变革</t>
  </si>
  <si>
    <t>经营思维</t>
  </si>
  <si>
    <t>组织能力建设</t>
  </si>
  <si>
    <t>引领他人成功</t>
  </si>
  <si>
    <t>系统决策</t>
  </si>
  <si>
    <t>业务管理</t>
    <phoneticPr fontId="14" type="noConversion"/>
  </si>
  <si>
    <t>组织管理</t>
    <phoneticPr fontId="14" type="noConversion"/>
  </si>
  <si>
    <t>团队管理</t>
    <phoneticPr fontId="14" type="noConversion"/>
  </si>
  <si>
    <t>自我管理</t>
    <phoneticPr fontId="14" type="noConversion"/>
  </si>
  <si>
    <t>业务导师</t>
    <phoneticPr fontId="14" type="noConversion"/>
  </si>
  <si>
    <t>管理导师</t>
    <phoneticPr fontId="14" type="noConversion"/>
  </si>
  <si>
    <t xml:space="preserve"> </t>
    <phoneticPr fontId="14" type="noConversion"/>
  </si>
  <si>
    <t>第六组</t>
    <phoneticPr fontId="14" type="noConversion"/>
  </si>
  <si>
    <t>鲁丽军</t>
    <phoneticPr fontId="14" type="noConversion"/>
  </si>
  <si>
    <t>战略推动
经营思维
组织能力建设
系统决策</t>
    <phoneticPr fontId="14" type="noConversion"/>
  </si>
  <si>
    <t>建议后续通过创新思维、跨领域思维的学习，以及带领团队在公司战略类项目中的历练，贴近市场，精进业务，拓展视野，不断提升创新创造能力。并做到人才辨识，知人善任，带领团队推动成果落地并取得成功。</t>
    <phoneticPr fontId="14" type="noConversion"/>
  </si>
  <si>
    <t>创新变革
引领他人成功</t>
    <phoneticPr fontId="14" type="noConversion"/>
  </si>
  <si>
    <t>能够从组织战略角度出发，基于实际业务问题提出具体解决方案和实现路径，并在推动落地执行力有所展现，如，在问题确定新目标时，提出进行数据测算的建议，让战略目标（或问题目标）更有实际解决行动举措和路径。在分析业务推演过程中，能考虑实施中的挑战和风险，关注客观数据和信息资源，审慎客观提出对策思路和方向，想方设法推进任务达成。</t>
    <phoneticPr fontId="14" type="noConversion"/>
  </si>
  <si>
    <t>保持开放接纳态度，并坚持个人独立判断和主张，进行扩展性思考，运用到具体实际业务的实现路径上。如，在课题澄清环节参与团队讨论，在关键节点给于建议并引发深入思考“诸暨外学员数据如何取得？”团队讨论时，有责任意识，主动询问和学习非业务领域知识，认真听取不同意见和观点，及时反馈和回应，与团队成员一同采取行动落地各项任务。</t>
    <phoneticPr fontId="14" type="noConversion"/>
  </si>
  <si>
    <t>能够在表达自己的思想和观点的同时，关注其他成员的感受和反馈。面对讨论中存在的问题或阻碍，力图通过优化工作方式和工作流程等来促进任务解决方案的达成。保持风险意识和审慎态度，及时提醒和反馈，通过不断澄清想法和思路，促进团队成员间达成共识。</t>
    <phoneticPr fontId="14" type="noConversion"/>
  </si>
  <si>
    <t>在行动过程中能够信赖团队，倾听团队成员各方意见，保持开放和包容，接纳他人的不同观点和意见。整体过程中虽主动表达发言不多，但始终关注行动过程及结果达成，关键时刻给予必要的支持和鼓励。由于在沟通过程中感染力和影响力上还不足，无法发挥主导作用引导团队达成共识。</t>
    <phoneticPr fontId="14" type="noConversion"/>
  </si>
  <si>
    <t>具有个人独立思考，能够面对困顿及复杂问题时，保持自己的深度思考，并敢于向团队提出自己提议和建议。在问题澄清阶段提出关键问题，考虑问题更为具象和实际，具有很强的指向性，对解决问题有一定促进作用。乐于主动学习和变化成长，如，第一天是通过在线学习，第二天行动学习进行课前主动展示，汇报首日所学所获所悟。谦逊好思，理性客观，与团队成员保持友好的合作共建关系，在讨论过程中能及时进行阶段反思和总结，并坦诚向团队成员提出真实反馈意见。</t>
    <phoneticPr fontId="14" type="noConversion"/>
  </si>
  <si>
    <t>战略推动
经营思维</t>
    <phoneticPr fontId="14" type="noConversion"/>
  </si>
  <si>
    <t>创新变革
系统决策
组织能力建设
引领他人成功</t>
    <phoneticPr fontId="14" type="noConversion"/>
  </si>
  <si>
    <t>建议后续通过学习战略思维及战略解码等系列能力提升培训，以及业务管理岗位的历练，贴近市场、洞察客户，深植公司经营理念，提升战略顶层设计规划及资源统筹能力，以及团队管理领导力，透过教育产品洞悉其背后的商业逻辑，并转化为市场经营效益。</t>
    <phoneticPr fontId="14" type="noConversion"/>
  </si>
  <si>
    <t>能够基于对公司的战略目标和方向的理解，在行动学习过程中可以运用战略分析工具，与团队成员一同分析并澄清课题内容，协助了解和收集课题相关的地区、行业、客户，以及市场一手信息并进行数据画像。如，在用户需求数据分析维度构建上，提出数据维度、分析结果运用等有效建议。活动中以目标为导向，及时总结归纳观点，积极促动团队推动任务目标的达成。</t>
    <phoneticPr fontId="14" type="noConversion"/>
  </si>
  <si>
    <t>在行动学习中始终保持开放和包容态度，善于倾听团队成员的意见，保持对非专业领域课题的好奇心，不评判、不反对、不否定，尝试站在他人角度去理解和思考问题。活动中积极贡献个人智慧和想法，探索任务目标达成的各种可能性。积极参与，有始有终，主动承担布置的行动任务，并身体力行将任务有效落地。如，在第二次问题澄清与分析环节，提出许多对策课题原因的分析维度。</t>
    <phoneticPr fontId="14" type="noConversion"/>
  </si>
  <si>
    <t>在问题分析澄清环节，积极配合团队成员寻找内外部因素及问题影响因素。如，在运用因果分析和冰山分析问题根因讨论阶段，始终投入、认真聆听并互动反馈。在重构问题时，提出如何进行专业化判断，在这种情形下需要原执行团队验证。行动课题推演过程中，尝试突破现有经验的做法，探讨其他可行性的业务实现路径。</t>
    <phoneticPr fontId="14" type="noConversion"/>
  </si>
  <si>
    <r>
      <rPr>
        <sz val="18"/>
        <rFont val="微软雅黑"/>
        <family val="2"/>
        <charset val="134"/>
      </rPr>
      <t>在活动中投入度高，积极参与任务各环节，并通过开放式提问与成员互动，进行任务方向和目标澄清。乐于听取他人意见，并保持自己的独立思考和判断，不断寻求行动学习课题的解决方案，优化和改善行动流程，更好地达成目标，促进团队形成共识。如，在课题澄清环节不断提问，并身体力行承担填写表格任务，助力团队达成行动目标。提出调研转化标签分析的具体方法，并带领团队积极对策有效解决方案。</t>
    </r>
    <r>
      <rPr>
        <sz val="18"/>
        <color rgb="FFFF0000"/>
        <rFont val="微软雅黑"/>
        <family val="2"/>
        <charset val="134"/>
      </rPr>
      <t xml:space="preserve"> </t>
    </r>
    <phoneticPr fontId="14" type="noConversion"/>
  </si>
  <si>
    <r>
      <rPr>
        <sz val="18"/>
        <rFont val="微软雅黑"/>
        <family val="2"/>
        <charset val="134"/>
      </rPr>
      <t>乐于学习和倾听，愿意与他人分享观点，全情投入与成员共同讨论非优势领域的业务问题，积极参与，率先示范，合理分工，协同团队共同完成既定任务。如，在问题分析环节制作问题清单、贡献个人分析建议，并给予他人客观反馈意见。在回答导师问题（关于电梯故障问题解决）代表小组主动发言。</t>
    </r>
    <r>
      <rPr>
        <sz val="18"/>
        <color rgb="FFFF0000"/>
        <rFont val="微软雅黑"/>
        <family val="2"/>
        <charset val="134"/>
      </rPr>
      <t xml:space="preserve"> </t>
    </r>
    <phoneticPr fontId="14" type="noConversion"/>
  </si>
  <si>
    <t>逻辑思维和结构化思考力强，表达简洁明确，具有通过现象看本质的能力，针对问题能独立思考并提出有益建议，并身体力行去推动和执行。能保持好奇心和包容接纳，对行动学习中始终保持开放精神。如，团队讨论时一直参与澄清问题，提出调研转化标签分析具体方法。在问题探讨中能聚焦找到核心问题，洞悉把握关键，判断并提出有效解决建议。如，在参与讨论问题数据分析时提出需要确定哪些数据是最重要，以来确定关键影响要素。</t>
    <phoneticPr fontId="14" type="noConversion"/>
  </si>
  <si>
    <t>在行动推进过程中，认同公司教育产品，保持与公司战略导向一致性。能协助收集国家、行业相关政策及信息，参与投入业务问题讨论，尝试突破现有的经验及做法，探寻业务发展增长点，支持团队成员推动任务目标的达成。</t>
    <phoneticPr fontId="14" type="noConversion"/>
  </si>
  <si>
    <t>战略推动
经营思维
系统决策</t>
    <phoneticPr fontId="14" type="noConversion"/>
  </si>
  <si>
    <t>建议后续通过业务团队管理实践淬炼，以及一线市场的贴近和客户群体深度分析，将战略前瞻思维与业务实际、工作实践紧密联系，发挥其业务经营、战略思维方面的优势，进一步提升战略落地、组织建设和创新创造能力。</t>
    <phoneticPr fontId="14" type="noConversion"/>
  </si>
  <si>
    <t>创新变革
组织能力建设
引领他人成功</t>
    <phoneticPr fontId="14" type="noConversion"/>
  </si>
  <si>
    <t>在问题澄清环节展现出一定战略思考力和执行力，遇到问题时能尝试从更深层次思考，力求挖掘现象背后的本质原因。行动任务遇到困难时，能积极进行拓展性思考。以问题为导向，执着预计目标达成，能根据内外环境变化进行调整。在任务落地执行环节，当遇到团队成员质疑或权威挑战时，更倾向于和谐柔性处理。如，定义问题澄清目标提出明确建议“如何成功转化的定义”，当有队员提出疑问时，缺乏坚持和说服成员以达成共识的意愿。</t>
    <phoneticPr fontId="14" type="noConversion"/>
  </si>
  <si>
    <t xml:space="preserve">具有一定思辨精神和反向思维能力，倾向于支持团队中具有相关领域经验成员的意见，遇到不同意见和反馈时，能保持一定包容、接纳态度。学习过程中能想办法调动资源，支持成员制定行动方案以达成任务目标。当团队在形成共识遇阻时，尝试理解他人的想法和需求，寻求他人的反馈和意见，及时总结和改进方法。 </t>
    <phoneticPr fontId="14" type="noConversion"/>
  </si>
  <si>
    <t>既关注宏观层面政策导向，也能结合微观具体场景化案例，从公司战略目标、外部市场、政策环境等多维度出发，积极探寻商业本质。根据具体应用场景、实际市场反馈进行扩展思考，并关注事物发展推进过程中的风险点。具有较强的规则意识，活动中考虑问题严谨，强调规则和底线。如，在培训规则制定上敢于大胆提出个人的理解和建议，认为考勤加分比例在培训整体评价中过高、过重。导师也给于其反馈评价，更适合充当审议员角色。</t>
    <phoneticPr fontId="14" type="noConversion"/>
  </si>
  <si>
    <t>作为团队组长在参与活动期间，身体力行承担小组责任，积极参与问题讨论的各环节，有意识发挥团队成员的特点及优势，推动团队达成任务目标。遇到问题讨论产生分歧时，侧重站在个人经历和认知角度给予解决方法及路径。以身作则，能够理解和体谅团队成员的工作状态，调动成员业务领域专长。如，在课题澄清环节不断提问，并身体力行承担填写表格任务，助力团队达成行动目标。</t>
    <phoneticPr fontId="14" type="noConversion"/>
  </si>
  <si>
    <t>能调动有资源、有经验的团队成员，努力寻找达成共识的解决方案。整体活动中愿意投入时间、精力与团队成员一起达成学习任务目标。在与团队成员沟通时，信赖有经验、有资源的团队成员，更多发挥组内其他人的专长、能力来实现任务目标。如，在问题澄清分析环节，带领团队成员一同完成分析指标和维度展示。在达成共识过程中受阻时，可能会阻碍其发挥激励和鼓舞团队士气的管理意愿。</t>
    <phoneticPr fontId="14" type="noConversion"/>
  </si>
  <si>
    <t xml:space="preserve">具有一定逻辑分析、理性判断能力，对基本问题有一定综合性的统筹分析视角，会进行反向思考和思辨精神，不局限表面问题，力图深入挖掘事物本质。如，讨论问题环节积极参与，调研群体信息分析维度探时，进行有效的建议和补充。活动过程中审慎严谨、客观中立，能关注事物发展推进过程中的风险点。如，目标澄清活动环节，提示队员政策也有反向影响，强调要关注国家及行业出台的法律合规方面的相关政策。 </t>
    <phoneticPr fontId="14" type="noConversion"/>
  </si>
  <si>
    <t>吴同学整体活动积极参与，作为组长承担团队引导和顾问支持角色，身体力行，积极支持团队成员完成任务。保持客观审慎态度，发挥其思辨精神与风险把控意识，协调资源推进任务完成。能听取其他成员意见，尽量发挥他人特长和特点。活动中任务遇到困难和阻力时，保持中立严谨，支持团队成员拓宽思路、拓展资源以达成行动学习课题在工作实践中的落地执行。</t>
  </si>
  <si>
    <t>鲁同学整体活动中表现投入积极、专注精进 ，承担团队成员智囊团的角色。逻辑严谨，谦逊好学，保持开放和接纳态度，面对讨论产生分歧和任务受阻时，能保持理性思考，敢于表达个人思想和建议。同时关注团队成员感受和需求，以目标为导向，辅助支持小组推进行动任务的达成。</t>
    <phoneticPr fontId="14" type="noConversion"/>
  </si>
  <si>
    <t>俞同学整体活动表现认真投入，注重目标推演过程，以达成高质量、高效率交付结果。承担核心团队成员角色，主动参与关键环节行动，积极贡献个人智慧和。活动中保持好奇心、开放包容态度，关注团队成员感受，汲取各方意见，信赖并支持团队成员达成任务目标。坚持独立思考、理性研判，面对讨论中分歧，更多从客观审慎、创新发展角度贡献意见，保持与团队的和谐共创。</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</si>
</sst>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_);[Red]\(0.0\)"/>
    <numFmt numFmtId="177" formatCode="0_);[Red]\(0\)"/>
  </numFmts>
  <fonts count="26">
    <font>
      <sz val="11"/>
      <color theme="1"/>
      <name val="宋体"/>
      <charset val="134"/>
      <scheme val="minor"/>
    </font>
    <font>
      <b/>
      <sz val="10"/>
      <color theme="1"/>
      <name val="宋体"/>
      <family val="3"/>
      <charset val="134"/>
      <scheme val="minor"/>
    </font>
    <font>
      <sz val="10"/>
      <color theme="1"/>
      <name val="微软雅黑"/>
      <family val="2"/>
      <charset val="134"/>
    </font>
    <font>
      <sz val="10"/>
      <color theme="1"/>
      <name val="宋体"/>
      <family val="3"/>
      <charset val="134"/>
      <scheme val="minor"/>
    </font>
    <font>
      <b/>
      <sz val="10"/>
      <name val="微软雅黑"/>
      <family val="2"/>
      <charset val="134"/>
    </font>
    <font>
      <sz val="10"/>
      <name val="微软雅黑"/>
      <family val="2"/>
      <charset val="134"/>
    </font>
    <font>
      <b/>
      <sz val="10"/>
      <color theme="1"/>
      <name val="微软雅黑"/>
      <family val="2"/>
      <charset val="134"/>
    </font>
    <font>
      <b/>
      <sz val="10"/>
      <color rgb="FFFF0000"/>
      <name val="微软雅黑"/>
      <family val="2"/>
      <charset val="134"/>
    </font>
    <font>
      <sz val="10"/>
      <color indexed="8"/>
      <name val="微软雅黑"/>
      <family val="2"/>
      <charset val="134"/>
    </font>
    <font>
      <sz val="10"/>
      <color rgb="FF333333"/>
      <name val="微软雅黑"/>
      <family val="2"/>
      <charset val="134"/>
    </font>
    <font>
      <sz val="10"/>
      <color rgb="FF000000"/>
      <name val="微软雅黑"/>
      <family val="2"/>
      <charset val="134"/>
    </font>
    <font>
      <sz val="11"/>
      <color theme="1"/>
      <name val="微软雅黑"/>
      <family val="2"/>
      <charset val="134"/>
    </font>
    <font>
      <sz val="14"/>
      <color theme="1"/>
      <name val="微软雅黑"/>
      <family val="2"/>
      <charset val="134"/>
    </font>
    <font>
      <sz val="10"/>
      <color theme="1"/>
      <name val="Arial"/>
      <family val="2"/>
    </font>
    <font>
      <sz val="9"/>
      <name val="宋体"/>
      <family val="3"/>
      <charset val="134"/>
      <scheme val="minor"/>
    </font>
    <font>
      <b/>
      <sz val="18"/>
      <color theme="1"/>
      <name val="微软雅黑"/>
      <family val="2"/>
      <charset val="134"/>
    </font>
    <font>
      <b/>
      <sz val="16"/>
      <color theme="1"/>
      <name val="微软雅黑"/>
      <family val="2"/>
      <charset val="134"/>
    </font>
    <font>
      <sz val="16"/>
      <color theme="1"/>
      <name val="微软雅黑"/>
      <family val="2"/>
      <charset val="134"/>
    </font>
    <font>
      <b/>
      <sz val="20"/>
      <color theme="1"/>
      <name val="微软雅黑"/>
      <family val="2"/>
      <charset val="134"/>
    </font>
    <font>
      <sz val="16"/>
      <color theme="1"/>
      <name val="宋体"/>
      <family val="3"/>
      <charset val="134"/>
      <scheme val="minor"/>
    </font>
    <font>
      <sz val="18"/>
      <color theme="1"/>
      <name val="微软雅黑"/>
      <family val="2"/>
      <charset val="134"/>
    </font>
    <font>
      <sz val="18"/>
      <name val="微软雅黑"/>
      <family val="2"/>
      <charset val="134"/>
    </font>
    <font>
      <sz val="18"/>
      <color rgb="FFFF0000"/>
      <name val="微软雅黑"/>
      <family val="2"/>
      <charset val="134"/>
    </font>
    <font>
      <b/>
      <sz val="24"/>
      <color rgb="FF0051A8"/>
      <name val="微软雅黑"/>
      <family val="2"/>
      <charset val="134"/>
    </font>
    <font>
      <b/>
      <sz val="20"/>
      <color theme="0"/>
      <name val="微软雅黑"/>
      <family val="2"/>
      <charset val="134"/>
    </font>
    <font>
      <sz val="9"/>
      <name val="宋体"/>
      <charset val="134"/>
      <scheme val="minor"/>
    </font>
  </fonts>
  <fills count="9">
    <fill>
      <patternFill patternType="none"/>
    </fill>
    <fill>
      <patternFill patternType="gray125"/>
    </fill>
    <fill>
      <patternFill patternType="solid">
        <fgColor them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indexed="9"/>
        <bgColor indexed="64"/>
      </patternFill>
    </fill>
    <fill>
      <patternFill patternType="solid">
        <fgColor theme="0"/>
        <bgColor indexed="64"/>
      </patternFill>
    </fill>
    <fill>
      <patternFill patternType="solid">
        <fgColor rgb="FFAFDBFF"/>
        <bgColor indexed="64"/>
      </patternFill>
    </fill>
    <fill>
      <patternFill patternType="solid">
        <fgColor rgb="FF0051A8"/>
        <bgColor indexed="64"/>
      </patternFill>
    </fill>
  </fills>
  <borders count="4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top style="medium">
        <color auto="1"/>
      </top>
      <bottom/>
      <diagonal/>
    </border>
    <border>
      <left/>
      <right/>
      <top style="medium">
        <color auto="1"/>
      </top>
      <bottom/>
      <diagonal/>
    </border>
    <border>
      <left style="medium">
        <color auto="1"/>
      </left>
      <right/>
      <top style="thin">
        <color auto="1"/>
      </top>
      <bottom/>
      <diagonal/>
    </border>
    <border>
      <left/>
      <right/>
      <top style="thin">
        <color auto="1"/>
      </top>
      <bottom/>
      <diagonal/>
    </border>
    <border>
      <left style="dashed">
        <color theme="0" tint="-0.249977111117893"/>
      </left>
      <right/>
      <top style="thin">
        <color theme="1"/>
      </top>
      <bottom style="dashed">
        <color theme="0" tint="-0.249977111117893"/>
      </bottom>
      <diagonal/>
    </border>
    <border>
      <left/>
      <right style="dashed">
        <color theme="0" tint="-0.249977111117893"/>
      </right>
      <top style="thin">
        <color theme="1"/>
      </top>
      <bottom style="dashed">
        <color theme="0" tint="-0.249977111117893"/>
      </bottom>
      <diagonal/>
    </border>
    <border>
      <left style="dashed">
        <color theme="0" tint="-0.249977111117893"/>
      </left>
      <right style="dashed">
        <color theme="0" tint="-0.249977111117893"/>
      </right>
      <top style="thin">
        <color theme="1"/>
      </top>
      <bottom style="dashed">
        <color theme="0" tint="-0.249977111117893"/>
      </bottom>
      <diagonal/>
    </border>
    <border>
      <left style="medium">
        <color auto="1"/>
      </left>
      <right/>
      <top/>
      <bottom/>
      <diagonal/>
    </border>
    <border>
      <left style="dashed">
        <color theme="0" tint="-0.249977111117893"/>
      </left>
      <right/>
      <top style="dashed">
        <color theme="0" tint="-0.249977111117893"/>
      </top>
      <bottom style="dashed">
        <color theme="0" tint="-0.249977111117893"/>
      </bottom>
      <diagonal/>
    </border>
    <border>
      <left/>
      <right style="dashed">
        <color theme="0" tint="-0.249977111117893"/>
      </right>
      <top style="dashed">
        <color theme="0" tint="-0.249977111117893"/>
      </top>
      <bottom style="dashed">
        <color theme="0" tint="-0.249977111117893"/>
      </bottom>
      <diagonal/>
    </border>
    <border>
      <left style="dashed">
        <color theme="0" tint="-0.249977111117893"/>
      </left>
      <right style="dashed">
        <color theme="0" tint="-0.249977111117893"/>
      </right>
      <top style="dashed">
        <color theme="0" tint="-0.249977111117893"/>
      </top>
      <bottom style="dashed">
        <color theme="0" tint="-0.249977111117893"/>
      </bottom>
      <diagonal/>
    </border>
    <border>
      <left/>
      <right/>
      <top style="dashed">
        <color theme="0" tint="-0.249977111117893"/>
      </top>
      <bottom style="dashed">
        <color theme="0" tint="-0.249977111117893"/>
      </bottom>
      <diagonal/>
    </border>
    <border>
      <left/>
      <right/>
      <top style="dashed">
        <color theme="0" tint="-0.249977111117893"/>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diagonal/>
    </border>
    <border>
      <left/>
      <right/>
      <top/>
      <bottom style="dashed">
        <color theme="0" tint="-0.249977111117893"/>
      </bottom>
      <diagonal/>
    </border>
    <border>
      <left/>
      <right style="medium">
        <color auto="1"/>
      </right>
      <top/>
      <bottom style="dashed">
        <color theme="0" tint="-0.249977111117893"/>
      </bottom>
      <diagonal/>
    </border>
    <border>
      <left style="dashed">
        <color theme="0" tint="-0.249977111117893"/>
      </left>
      <right style="dashed">
        <color theme="0" tint="-0.249977111117893"/>
      </right>
      <top style="dashed">
        <color theme="0" tint="-0.249977111117893"/>
      </top>
      <bottom/>
      <diagonal/>
    </border>
    <border>
      <left style="dashed">
        <color theme="0" tint="-0.249977111117893"/>
      </left>
      <right style="dashed">
        <color theme="0" tint="-0.249977111117893"/>
      </right>
      <top/>
      <bottom/>
      <diagonal/>
    </border>
    <border>
      <left/>
      <right style="dashed">
        <color theme="0" tint="-0.249977111117893"/>
      </right>
      <top style="dashed">
        <color theme="0" tint="-0.249977111117893"/>
      </top>
      <bottom style="thin">
        <color auto="1"/>
      </bottom>
      <diagonal/>
    </border>
    <border>
      <left style="dashed">
        <color theme="0" tint="-0.249977111117893"/>
      </left>
      <right/>
      <top style="dashed">
        <color theme="0" tint="-0.249977111117893"/>
      </top>
      <bottom style="thin">
        <color auto="1"/>
      </bottom>
      <diagonal/>
    </border>
    <border>
      <left style="medium">
        <color auto="1"/>
      </left>
      <right style="dashed">
        <color theme="0" tint="-0.249977111117893"/>
      </right>
      <top style="thin">
        <color auto="1"/>
      </top>
      <bottom/>
      <diagonal/>
    </border>
    <border>
      <left style="medium">
        <color auto="1"/>
      </left>
      <right style="dashed">
        <color theme="0" tint="-0.249977111117893"/>
      </right>
      <top/>
      <bottom/>
      <diagonal/>
    </border>
    <border>
      <left style="dashed">
        <color theme="0" tint="-0.249977111117893"/>
      </left>
      <right/>
      <top/>
      <bottom/>
      <diagonal/>
    </border>
    <border>
      <left/>
      <right style="dashed">
        <color theme="0" tint="-0.249977111117893"/>
      </right>
      <top/>
      <bottom/>
      <diagonal/>
    </border>
    <border>
      <left style="dashed">
        <color theme="0" tint="-0.249977111117893"/>
      </left>
      <right/>
      <top style="dashed">
        <color theme="0" tint="-0.249977111117893"/>
      </top>
      <bottom/>
      <diagonal/>
    </border>
    <border>
      <left style="dashed">
        <color theme="0" tint="-0.249977111117893"/>
      </left>
      <right/>
      <top/>
      <bottom style="dashed">
        <color theme="0" tint="-0.249977111117893"/>
      </bottom>
      <diagonal/>
    </border>
    <border>
      <left/>
      <right style="dashed">
        <color theme="0" tint="-0.249977111117893"/>
      </right>
      <top/>
      <bottom style="dashed">
        <color theme="0" tint="-0.249977111117893"/>
      </bottom>
      <diagonal/>
    </border>
    <border>
      <left style="dashed">
        <color theme="0" tint="-0.249977111117893"/>
      </left>
      <right style="medium">
        <color indexed="64"/>
      </right>
      <top style="thin">
        <color theme="1"/>
      </top>
      <bottom style="dashed">
        <color theme="0" tint="-0.249977111117893"/>
      </bottom>
      <diagonal/>
    </border>
    <border>
      <left style="dashed">
        <color theme="0" tint="-0.249977111117893"/>
      </left>
      <right style="medium">
        <color indexed="64"/>
      </right>
      <top style="dashed">
        <color theme="0" tint="-0.249977111117893"/>
      </top>
      <bottom style="dashed">
        <color theme="0" tint="-0.249977111117893"/>
      </bottom>
      <diagonal/>
    </border>
    <border>
      <left style="medium">
        <color indexed="64"/>
      </left>
      <right/>
      <top style="dashed">
        <color theme="0" tint="-0.249977111117893"/>
      </top>
      <bottom style="dashed">
        <color theme="0" tint="-0.249977111117893"/>
      </bottom>
      <diagonal/>
    </border>
    <border>
      <left/>
      <right style="medium">
        <color indexed="64"/>
      </right>
      <top style="dashed">
        <color theme="0" tint="-0.249977111117893"/>
      </top>
      <bottom style="dashed">
        <color theme="0" tint="-0.249977111117893"/>
      </bottom>
      <diagonal/>
    </border>
    <border>
      <left style="medium">
        <color indexed="64"/>
      </left>
      <right style="dashed">
        <color theme="0" tint="-0.249977111117893"/>
      </right>
      <top style="dashed">
        <color theme="0" tint="-0.249977111117893"/>
      </top>
      <bottom/>
      <diagonal/>
    </border>
    <border>
      <left/>
      <right style="medium">
        <color indexed="64"/>
      </right>
      <top style="dashed">
        <color theme="0" tint="-0.249977111117893"/>
      </top>
      <bottom/>
      <diagonal/>
    </border>
    <border>
      <left style="medium">
        <color indexed="64"/>
      </left>
      <right style="dashed">
        <color theme="0" tint="-0.249977111117893"/>
      </right>
      <top/>
      <bottom style="dashed">
        <color theme="0" tint="-0.249977111117893"/>
      </bottom>
      <diagonal/>
    </border>
    <border>
      <left style="dashed">
        <color theme="0" tint="-0.249977111117893"/>
      </left>
      <right/>
      <top style="dashed">
        <color theme="0" tint="-0.249977111117893"/>
      </top>
      <bottom style="medium">
        <color indexed="64"/>
      </bottom>
      <diagonal/>
    </border>
    <border>
      <left/>
      <right/>
      <top style="dashed">
        <color theme="0" tint="-0.249977111117893"/>
      </top>
      <bottom style="medium">
        <color indexed="64"/>
      </bottom>
      <diagonal/>
    </border>
    <border>
      <left/>
      <right style="medium">
        <color indexed="64"/>
      </right>
      <top style="dashed">
        <color theme="0" tint="-0.249977111117893"/>
      </top>
      <bottom style="medium">
        <color indexed="64"/>
      </bottom>
      <diagonal/>
    </border>
    <border>
      <left style="medium">
        <color indexed="64"/>
      </left>
      <right/>
      <top/>
      <bottom style="dashed">
        <color theme="0" tint="-0.249977111117893"/>
      </bottom>
      <diagonal/>
    </border>
    <border>
      <left/>
      <right style="dashed">
        <color theme="0" tint="-0.249977111117893"/>
      </right>
      <top style="dashed">
        <color theme="0" tint="-0.249977111117893"/>
      </top>
      <bottom style="medium">
        <color indexed="64"/>
      </bottom>
      <diagonal/>
    </border>
  </borders>
  <cellStyleXfs count="2">
    <xf numFmtId="0" fontId="0" fillId="0" borderId="0">
      <alignment vertical="center"/>
    </xf>
    <xf numFmtId="0" fontId="13" fillId="0" borderId="0"/>
  </cellStyleXfs>
  <cellXfs count="115">
    <xf numFmtId="0" fontId="0" fillId="0" borderId="0" xfId="0">
      <alignment vertical="center"/>
    </xf>
    <xf numFmtId="0" fontId="1" fillId="0" borderId="0" xfId="0" applyFont="1" applyAlignment="1">
      <alignment horizontal="center"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xf>
    <xf numFmtId="49" fontId="4" fillId="2"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 fillId="0" borderId="0" xfId="0" applyFont="1" applyAlignment="1">
      <alignment horizontal="center" vertical="center"/>
    </xf>
    <xf numFmtId="49" fontId="4" fillId="2" borderId="1" xfId="0" applyNumberFormat="1" applyFont="1" applyFill="1" applyBorder="1" applyAlignment="1">
      <alignment vertical="center" wrapText="1"/>
    </xf>
    <xf numFmtId="0" fontId="5" fillId="0" borderId="1" xfId="0" applyFont="1" applyBorder="1" applyAlignment="1" applyProtection="1">
      <alignment horizontal="center" vertical="center" wrapText="1"/>
      <protection locked="0"/>
    </xf>
    <xf numFmtId="58" fontId="5" fillId="0" borderId="1" xfId="0" applyNumberFormat="1"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49" fontId="5" fillId="0" borderId="1" xfId="0" applyNumberFormat="1" applyFont="1" applyBorder="1" applyAlignment="1" applyProtection="1">
      <alignment horizontal="center" vertical="center" wrapText="1"/>
      <protection locked="0"/>
    </xf>
    <xf numFmtId="0" fontId="8" fillId="5" borderId="1" xfId="0" applyFont="1" applyFill="1" applyBorder="1" applyAlignment="1" applyProtection="1">
      <alignment horizontal="center" vertical="center" wrapText="1"/>
      <protection locked="0"/>
    </xf>
    <xf numFmtId="177" fontId="2"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2" fillId="0" borderId="1" xfId="0" applyFont="1" applyBorder="1" applyAlignment="1">
      <alignment vertical="center" wrapText="1"/>
    </xf>
    <xf numFmtId="0" fontId="6" fillId="2" borderId="2" xfId="0" applyFont="1" applyFill="1" applyBorder="1" applyAlignment="1">
      <alignment horizontal="center" vertical="center"/>
    </xf>
    <xf numFmtId="0" fontId="8" fillId="5" borderId="1" xfId="0" applyFont="1" applyFill="1" applyBorder="1" applyAlignment="1" applyProtection="1">
      <alignment horizontal="center" vertical="center"/>
      <protection locked="0"/>
    </xf>
    <xf numFmtId="0" fontId="2" fillId="6" borderId="1" xfId="0" applyFont="1" applyFill="1" applyBorder="1" applyAlignment="1">
      <alignment horizontal="center" vertical="center" wrapText="1"/>
    </xf>
    <xf numFmtId="58" fontId="2" fillId="6"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8"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4"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49" fontId="4" fillId="3" borderId="1" xfId="0" applyNumberFormat="1" applyFont="1" applyFill="1" applyBorder="1" applyAlignment="1">
      <alignment horizontal="center" vertical="center" wrapText="1"/>
    </xf>
    <xf numFmtId="0" fontId="2" fillId="6" borderId="1" xfId="0" applyFont="1" applyFill="1" applyBorder="1" applyAlignment="1">
      <alignment vertical="center" wrapText="1"/>
    </xf>
    <xf numFmtId="58" fontId="5" fillId="0" borderId="3" xfId="0" applyNumberFormat="1" applyFont="1" applyBorder="1" applyAlignment="1" applyProtection="1">
      <alignment horizontal="center" vertical="center"/>
      <protection locked="0"/>
    </xf>
    <xf numFmtId="0" fontId="0" fillId="0" borderId="0" xfId="0" applyAlignment="1">
      <alignment vertical="center" wrapText="1"/>
    </xf>
    <xf numFmtId="0" fontId="11" fillId="0" borderId="0" xfId="0" applyFont="1" applyAlignment="1"/>
    <xf numFmtId="0" fontId="11" fillId="0" borderId="0" xfId="0" applyFont="1" applyAlignment="1">
      <alignment wrapText="1"/>
    </xf>
    <xf numFmtId="0" fontId="12" fillId="0" borderId="0" xfId="0" applyFont="1">
      <alignment vertical="center"/>
    </xf>
    <xf numFmtId="0" fontId="17" fillId="0" borderId="0" xfId="0" applyFont="1">
      <alignment vertical="center"/>
    </xf>
    <xf numFmtId="0" fontId="19" fillId="0" borderId="0" xfId="0" applyFont="1">
      <alignment vertical="center"/>
    </xf>
    <xf numFmtId="0" fontId="15" fillId="2" borderId="37" xfId="0" applyFont="1" applyFill="1" applyBorder="1" applyAlignment="1">
      <alignment horizontal="center" vertical="center" wrapText="1"/>
    </xf>
    <xf numFmtId="0" fontId="15" fillId="7" borderId="45" xfId="0" applyFont="1" applyFill="1" applyBorder="1" applyAlignment="1">
      <alignment horizontal="center" vertical="center" wrapText="1"/>
    </xf>
    <xf numFmtId="0" fontId="15" fillId="7" borderId="18"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20" fillId="0" borderId="11" xfId="0" applyFont="1" applyBorder="1" applyAlignment="1">
      <alignment horizontal="center" vertical="center" wrapText="1"/>
    </xf>
    <xf numFmtId="0" fontId="15" fillId="7" borderId="10" xfId="0" applyFont="1" applyFill="1" applyBorder="1" applyAlignment="1">
      <alignment horizontal="center" vertical="center" wrapText="1"/>
    </xf>
    <xf numFmtId="0" fontId="20" fillId="0" borderId="35" xfId="0" applyFont="1" applyBorder="1" applyAlignment="1">
      <alignment horizontal="center" vertical="center" wrapText="1"/>
    </xf>
    <xf numFmtId="0" fontId="15" fillId="7" borderId="13" xfId="0" applyFont="1" applyFill="1" applyBorder="1" applyAlignment="1">
      <alignment horizontal="center" vertical="center" wrapText="1"/>
    </xf>
    <xf numFmtId="177" fontId="20" fillId="0" borderId="15" xfId="0" applyNumberFormat="1" applyFont="1" applyBorder="1" applyAlignment="1">
      <alignment horizontal="center" vertical="center" wrapText="1"/>
    </xf>
    <xf numFmtId="0" fontId="15" fillId="7" borderId="14" xfId="0" applyFont="1" applyFill="1" applyBorder="1" applyAlignment="1">
      <alignment horizontal="center" vertical="center" wrapText="1"/>
    </xf>
    <xf numFmtId="176" fontId="20" fillId="0" borderId="15" xfId="0" applyNumberFormat="1" applyFont="1" applyBorder="1" applyAlignment="1">
      <alignment horizontal="center" vertical="center" wrapText="1"/>
    </xf>
    <xf numFmtId="177" fontId="15" fillId="7" borderId="13" xfId="0" applyNumberFormat="1" applyFont="1" applyFill="1" applyBorder="1" applyAlignment="1">
      <alignment horizontal="center" vertical="center" wrapText="1"/>
    </xf>
    <xf numFmtId="0" fontId="20" fillId="0" borderId="36" xfId="0" applyFont="1" applyBorder="1" applyAlignment="1">
      <alignment horizontal="center" vertical="center" wrapText="1"/>
    </xf>
    <xf numFmtId="0" fontId="15" fillId="2" borderId="24"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5" fillId="7" borderId="39" xfId="0" applyFont="1" applyFill="1" applyBorder="1" applyAlignment="1">
      <alignment horizontal="center" vertical="center" wrapText="1"/>
    </xf>
    <xf numFmtId="0" fontId="15" fillId="7" borderId="41"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21" fillId="0" borderId="13" xfId="0" applyFont="1" applyBorder="1" applyAlignment="1">
      <alignment horizontal="left" vertical="center" wrapText="1"/>
    </xf>
    <xf numFmtId="0" fontId="22" fillId="0" borderId="16" xfId="0" applyFont="1" applyBorder="1" applyAlignment="1">
      <alignment horizontal="left" vertical="center" wrapText="1"/>
    </xf>
    <xf numFmtId="0" fontId="22" fillId="0" borderId="38" xfId="0" applyFont="1" applyBorder="1" applyAlignment="1">
      <alignment horizontal="left" vertical="center" wrapText="1"/>
    </xf>
    <xf numFmtId="0" fontId="15" fillId="2" borderId="42" xfId="0" applyFont="1" applyFill="1" applyBorder="1" applyAlignment="1">
      <alignment horizontal="center" vertical="center" wrapText="1"/>
    </xf>
    <xf numFmtId="0" fontId="15" fillId="2" borderId="46" xfId="0" applyFont="1" applyFill="1" applyBorder="1" applyAlignment="1">
      <alignment horizontal="center" vertical="center" wrapText="1"/>
    </xf>
    <xf numFmtId="0" fontId="21" fillId="0" borderId="42" xfId="0" applyFont="1" applyBorder="1" applyAlignment="1">
      <alignment horizontal="left" vertical="center" wrapText="1"/>
    </xf>
    <xf numFmtId="0" fontId="22" fillId="0" borderId="43" xfId="0" applyFont="1" applyBorder="1" applyAlignment="1">
      <alignment horizontal="left" vertical="center" wrapText="1"/>
    </xf>
    <xf numFmtId="0" fontId="22" fillId="0" borderId="44" xfId="0" applyFont="1" applyBorder="1" applyAlignment="1">
      <alignment horizontal="left" vertical="center" wrapText="1"/>
    </xf>
    <xf numFmtId="176" fontId="20" fillId="0" borderId="32" xfId="0" applyNumberFormat="1" applyFont="1" applyBorder="1" applyAlignment="1">
      <alignment horizontal="left" vertical="center" wrapText="1"/>
    </xf>
    <xf numFmtId="176" fontId="20" fillId="0" borderId="17" xfId="0" applyNumberFormat="1" applyFont="1" applyBorder="1" applyAlignment="1">
      <alignment horizontal="left" vertical="center" wrapText="1"/>
    </xf>
    <xf numFmtId="0" fontId="24" fillId="8" borderId="12" xfId="0" applyFont="1" applyFill="1" applyBorder="1" applyAlignment="1">
      <alignment horizontal="center" vertical="center"/>
    </xf>
    <xf numFmtId="0" fontId="24" fillId="8" borderId="0" xfId="0" applyFont="1" applyFill="1" applyAlignment="1">
      <alignment horizontal="center" vertical="center"/>
    </xf>
    <xf numFmtId="0" fontId="24" fillId="8" borderId="20" xfId="0" applyFont="1" applyFill="1" applyBorder="1" applyAlignment="1">
      <alignment horizontal="center" vertical="center"/>
    </xf>
    <xf numFmtId="0" fontId="15" fillId="2" borderId="33" xfId="0" applyFont="1" applyFill="1" applyBorder="1" applyAlignment="1">
      <alignment horizontal="center" vertical="center" wrapText="1"/>
    </xf>
    <xf numFmtId="0" fontId="15" fillId="2" borderId="34" xfId="0" applyFont="1" applyFill="1" applyBorder="1" applyAlignment="1">
      <alignment horizontal="center" vertical="center" wrapText="1"/>
    </xf>
    <xf numFmtId="0" fontId="21" fillId="0" borderId="33" xfId="0" applyFont="1" applyBorder="1" applyAlignment="1">
      <alignment horizontal="left"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15" fillId="7" borderId="12" xfId="0" applyFont="1" applyFill="1" applyBorder="1" applyAlignment="1">
      <alignment horizontal="center" vertical="center" wrapText="1"/>
    </xf>
    <xf numFmtId="0" fontId="15" fillId="2" borderId="39" xfId="0" applyFont="1" applyFill="1" applyBorder="1" applyAlignment="1">
      <alignment horizontal="center" vertical="center"/>
    </xf>
    <xf numFmtId="0" fontId="15" fillId="2" borderId="29" xfId="0" applyFont="1" applyFill="1" applyBorder="1" applyAlignment="1">
      <alignment horizontal="center" vertical="center"/>
    </xf>
    <xf numFmtId="0" fontId="21" fillId="0" borderId="30" xfId="0" applyFont="1" applyBorder="1" applyAlignment="1">
      <alignment horizontal="left" vertical="center" wrapText="1"/>
    </xf>
    <xf numFmtId="0" fontId="21" fillId="0" borderId="0" xfId="0" applyFont="1" applyAlignment="1">
      <alignment horizontal="left" vertical="center" wrapText="1"/>
    </xf>
    <xf numFmtId="0" fontId="21" fillId="0" borderId="31" xfId="0" applyFont="1" applyBorder="1" applyAlignment="1">
      <alignment horizontal="left" vertical="center" wrapText="1"/>
    </xf>
    <xf numFmtId="176" fontId="20" fillId="0" borderId="13" xfId="0" applyNumberFormat="1" applyFont="1" applyBorder="1" applyAlignment="1">
      <alignment horizontal="left" vertical="center" wrapText="1"/>
    </xf>
    <xf numFmtId="176" fontId="20" fillId="0" borderId="16" xfId="0" applyNumberFormat="1" applyFont="1" applyBorder="1" applyAlignment="1">
      <alignment horizontal="left" vertical="center" wrapText="1"/>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20" fillId="0" borderId="32" xfId="0" applyFont="1" applyBorder="1" applyAlignment="1">
      <alignment horizontal="left" vertical="center" wrapText="1"/>
    </xf>
    <xf numFmtId="0" fontId="20" fillId="0" borderId="40" xfId="0" applyFont="1" applyBorder="1" applyAlignment="1">
      <alignment horizontal="left" vertical="center" wrapText="1"/>
    </xf>
    <xf numFmtId="0" fontId="20" fillId="0" borderId="30" xfId="0" applyFont="1" applyBorder="1" applyAlignment="1">
      <alignment horizontal="left" vertical="center" wrapText="1"/>
    </xf>
    <xf numFmtId="0" fontId="20" fillId="0" borderId="20" xfId="0" applyFont="1" applyBorder="1" applyAlignment="1">
      <alignment horizontal="left" vertical="center" wrapText="1"/>
    </xf>
    <xf numFmtId="0" fontId="16" fillId="0" borderId="12" xfId="0" applyFont="1" applyBorder="1" applyAlignment="1">
      <alignment horizontal="left" vertical="center" wrapText="1"/>
    </xf>
    <xf numFmtId="0" fontId="17" fillId="0" borderId="0" xfId="0" applyFont="1" applyAlignment="1">
      <alignment horizontal="left" vertical="center"/>
    </xf>
    <xf numFmtId="0" fontId="17" fillId="0" borderId="20" xfId="0" applyFont="1" applyBorder="1" applyAlignment="1">
      <alignment horizontal="left" vertical="center"/>
    </xf>
    <xf numFmtId="176" fontId="20" fillId="0" borderId="13" xfId="0" applyNumberFormat="1" applyFont="1" applyBorder="1" applyAlignment="1">
      <alignment horizontal="center" vertical="center" wrapText="1"/>
    </xf>
    <xf numFmtId="176" fontId="20" fillId="0" borderId="16" xfId="0" applyNumberFormat="1" applyFont="1" applyBorder="1" applyAlignment="1">
      <alignment horizontal="center" vertical="center" wrapText="1"/>
    </xf>
    <xf numFmtId="0" fontId="15" fillId="2" borderId="16" xfId="0" applyFont="1" applyFill="1" applyBorder="1" applyAlignment="1">
      <alignment horizontal="center" vertical="center" wrapText="1"/>
    </xf>
    <xf numFmtId="176" fontId="20" fillId="0" borderId="38" xfId="0" applyNumberFormat="1" applyFont="1" applyBorder="1" applyAlignment="1">
      <alignment horizontal="center" vertical="center" wrapText="1"/>
    </xf>
    <xf numFmtId="0" fontId="24" fillId="8" borderId="7"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1" xfId="0" applyFont="1" applyFill="1" applyBorder="1" applyAlignment="1">
      <alignment horizontal="center" vertical="center"/>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23" fillId="0" borderId="19" xfId="0" applyFont="1" applyBorder="1" applyAlignment="1">
      <alignment horizontal="center" vertical="center"/>
    </xf>
    <xf numFmtId="0" fontId="18" fillId="0" borderId="28" xfId="0" applyFont="1" applyBorder="1" applyAlignment="1">
      <alignment horizontal="center" vertical="center" wrapText="1"/>
    </xf>
    <xf numFmtId="0" fontId="18" fillId="0" borderId="29" xfId="0" applyFont="1" applyBorder="1" applyAlignment="1">
      <alignment horizontal="center" vertical="center" wrapText="1"/>
    </xf>
    <xf numFmtId="176" fontId="20" fillId="0" borderId="9" xfId="0" applyNumberFormat="1" applyFont="1" applyBorder="1" applyAlignment="1">
      <alignment horizontal="center" vertical="center" wrapText="1"/>
    </xf>
    <xf numFmtId="176" fontId="20" fillId="0" borderId="10" xfId="0" applyNumberFormat="1" applyFont="1" applyBorder="1" applyAlignment="1">
      <alignment horizontal="center" vertical="center" wrapText="1"/>
    </xf>
    <xf numFmtId="176" fontId="20" fillId="0" borderId="27" xfId="0" applyNumberFormat="1" applyFont="1" applyBorder="1" applyAlignment="1">
      <alignment horizontal="center" vertical="center" wrapText="1"/>
    </xf>
    <xf numFmtId="176" fontId="20" fillId="0" borderId="26" xfId="0" applyNumberFormat="1" applyFont="1" applyBorder="1" applyAlignment="1">
      <alignment horizontal="center" vertical="center" wrapText="1"/>
    </xf>
    <xf numFmtId="0" fontId="21" fillId="0" borderId="16" xfId="0" applyFont="1" applyBorder="1" applyAlignment="1">
      <alignment horizontal="left" vertical="center" wrapText="1"/>
    </xf>
    <xf numFmtId="0" fontId="21" fillId="0" borderId="38" xfId="0" applyFont="1" applyBorder="1" applyAlignment="1">
      <alignment horizontal="left" vertical="center" wrapText="1"/>
    </xf>
    <xf numFmtId="0" fontId="21" fillId="0" borderId="43" xfId="0" applyFont="1" applyBorder="1" applyAlignment="1">
      <alignment horizontal="left" vertical="center" wrapText="1"/>
    </xf>
    <xf numFmtId="0" fontId="21" fillId="0" borderId="44" xfId="0" applyFont="1" applyBorder="1" applyAlignment="1">
      <alignment horizontal="left" vertical="center" wrapText="1"/>
    </xf>
    <xf numFmtId="0" fontId="22" fillId="0" borderId="13" xfId="0" applyFont="1" applyBorder="1" applyAlignment="1">
      <alignment horizontal="left" vertical="center" wrapText="1"/>
    </xf>
    <xf numFmtId="0" fontId="21" fillId="0" borderId="22" xfId="0" applyFont="1" applyBorder="1" applyAlignment="1">
      <alignment horizontal="left" vertical="center" wrapText="1"/>
    </xf>
    <xf numFmtId="0" fontId="21" fillId="0" borderId="23" xfId="0" applyFont="1" applyBorder="1" applyAlignment="1">
      <alignment horizontal="left" vertical="center" wrapText="1"/>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AFDBFF"/>
      <color rgb="FF7EBE25"/>
      <color rgb="FF0051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4F5B-3116-4F6E-A377-C8474E36F3DA}">
  <sheetPr>
    <pageSetUpPr fitToPage="1"/>
  </sheetPr>
  <dimension ref="A1:P19"/>
  <sheetViews>
    <sheetView showGridLines="0" topLeftCell="A9" zoomScale="40" zoomScaleNormal="40" zoomScalePageLayoutView="40" workbookViewId="0">
      <selection activeCell="I8" sqref="I8:I9"/>
    </sheetView>
  </sheetViews>
  <sheetFormatPr defaultColWidth="5.796875" defaultRowHeight="15"/>
  <cols>
    <col min="1" max="1" width="3.59765625" style="33" customWidth="1"/>
    <col min="2" max="2" width="20.59765625" style="33" customWidth="1"/>
    <col min="3" max="3" width="15.59765625" style="33" customWidth="1"/>
    <col min="4" max="5" width="20.59765625" style="33" customWidth="1"/>
    <col min="6" max="8" width="15.59765625" style="33" customWidth="1"/>
    <col min="9" max="9" width="30.59765625" style="33" customWidth="1"/>
    <col min="10" max="10" width="15.59765625" style="33" customWidth="1"/>
    <col min="11" max="11" width="30.59765625" style="33" customWidth="1"/>
    <col min="12" max="12" width="5.796875" style="33"/>
  </cols>
  <sheetData>
    <row r="1" spans="1:16" ht="15.4" thickBot="1"/>
    <row r="2" spans="1:16" ht="60" customHeight="1">
      <c r="B2" s="99" t="s">
        <v>169</v>
      </c>
      <c r="C2" s="100"/>
      <c r="D2" s="100"/>
      <c r="E2" s="100"/>
      <c r="F2" s="100"/>
      <c r="G2" s="100"/>
      <c r="H2" s="100"/>
      <c r="I2" s="100"/>
      <c r="J2" s="100"/>
      <c r="K2" s="101"/>
    </row>
    <row r="3" spans="1:16" ht="40.049999999999997" customHeight="1">
      <c r="B3" s="96" t="s">
        <v>178</v>
      </c>
      <c r="C3" s="97"/>
      <c r="D3" s="97"/>
      <c r="E3" s="97"/>
      <c r="F3" s="97"/>
      <c r="G3" s="97"/>
      <c r="H3" s="97"/>
      <c r="I3" s="97"/>
      <c r="J3" s="97"/>
      <c r="K3" s="98"/>
    </row>
    <row r="4" spans="1:16" ht="40.049999999999997" customHeight="1">
      <c r="B4" s="96" t="s">
        <v>6</v>
      </c>
      <c r="C4" s="97"/>
      <c r="D4" s="97"/>
      <c r="E4" s="97"/>
      <c r="F4" s="97"/>
      <c r="G4" s="97"/>
      <c r="H4" s="97"/>
      <c r="I4" s="97"/>
      <c r="J4" s="97"/>
      <c r="K4" s="98"/>
    </row>
    <row r="5" spans="1:16" ht="50" customHeight="1">
      <c r="B5" s="89" t="s">
        <v>177</v>
      </c>
      <c r="C5" s="90"/>
      <c r="D5" s="90"/>
      <c r="E5" s="90"/>
      <c r="F5" s="90"/>
      <c r="G5" s="90"/>
      <c r="H5" s="90"/>
      <c r="I5" s="90"/>
      <c r="J5" s="90"/>
      <c r="K5" s="91"/>
    </row>
    <row r="6" spans="1:16" ht="40.049999999999997" customHeight="1">
      <c r="A6" s="35"/>
      <c r="B6" s="67" t="s">
        <v>185</v>
      </c>
      <c r="C6" s="68"/>
      <c r="D6" s="68"/>
      <c r="E6" s="68"/>
      <c r="F6" s="68"/>
      <c r="G6" s="68"/>
      <c r="H6" s="68"/>
      <c r="I6" s="68"/>
      <c r="J6" s="68"/>
      <c r="K6" s="69"/>
      <c r="L6" s="35"/>
    </row>
    <row r="7" spans="1:16" s="37" customFormat="1" ht="60" customHeight="1">
      <c r="A7" s="36"/>
      <c r="B7" s="38" t="s">
        <v>179</v>
      </c>
      <c r="C7" s="92" t="s">
        <v>199</v>
      </c>
      <c r="D7" s="93"/>
      <c r="E7" s="93"/>
      <c r="F7" s="55" t="s">
        <v>180</v>
      </c>
      <c r="G7" s="94"/>
      <c r="H7" s="56"/>
      <c r="I7" s="92"/>
      <c r="J7" s="93"/>
      <c r="K7" s="95"/>
      <c r="L7" s="36"/>
    </row>
    <row r="8" spans="1:16" s="37" customFormat="1" ht="120" customHeight="1">
      <c r="A8" s="36"/>
      <c r="B8" s="76" t="s">
        <v>184</v>
      </c>
      <c r="C8" s="78" t="s">
        <v>228</v>
      </c>
      <c r="D8" s="79"/>
      <c r="E8" s="80"/>
      <c r="F8" s="52" t="s">
        <v>183</v>
      </c>
      <c r="G8" s="81" t="s">
        <v>219</v>
      </c>
      <c r="H8" s="82"/>
      <c r="I8" s="83" t="s">
        <v>182</v>
      </c>
      <c r="J8" s="85" t="s">
        <v>220</v>
      </c>
      <c r="K8" s="86"/>
      <c r="L8" s="36"/>
      <c r="P8" s="37" t="s">
        <v>198</v>
      </c>
    </row>
    <row r="9" spans="1:16" s="37" customFormat="1" ht="120" customHeight="1">
      <c r="A9" s="36"/>
      <c r="B9" s="77"/>
      <c r="C9" s="78"/>
      <c r="D9" s="79"/>
      <c r="E9" s="80"/>
      <c r="F9" s="52" t="s">
        <v>181</v>
      </c>
      <c r="G9" s="65" t="s">
        <v>221</v>
      </c>
      <c r="H9" s="66"/>
      <c r="I9" s="84"/>
      <c r="J9" s="87"/>
      <c r="K9" s="88"/>
      <c r="L9" s="36"/>
    </row>
    <row r="10" spans="1:16" ht="40.049999999999997" customHeight="1">
      <c r="A10" s="35"/>
      <c r="B10" s="67" t="s">
        <v>176</v>
      </c>
      <c r="C10" s="68"/>
      <c r="D10" s="68"/>
      <c r="E10" s="68"/>
      <c r="F10" s="68"/>
      <c r="G10" s="68"/>
      <c r="H10" s="68"/>
      <c r="I10" s="68"/>
      <c r="J10" s="68"/>
      <c r="K10" s="69"/>
      <c r="L10" s="35"/>
    </row>
    <row r="11" spans="1:16" ht="120" customHeight="1">
      <c r="B11" s="39" t="s">
        <v>192</v>
      </c>
      <c r="C11" s="70" t="s">
        <v>186</v>
      </c>
      <c r="D11" s="71"/>
      <c r="E11" s="72" t="s">
        <v>222</v>
      </c>
      <c r="F11" s="73"/>
      <c r="G11" s="73"/>
      <c r="H11" s="73"/>
      <c r="I11" s="73"/>
      <c r="J11" s="73"/>
      <c r="K11" s="74"/>
    </row>
    <row r="12" spans="1:16" ht="120" customHeight="1">
      <c r="B12" s="75" t="s">
        <v>193</v>
      </c>
      <c r="C12" s="55" t="s">
        <v>187</v>
      </c>
      <c r="D12" s="56"/>
      <c r="E12" s="57" t="s">
        <v>223</v>
      </c>
      <c r="F12" s="108"/>
      <c r="G12" s="108"/>
      <c r="H12" s="108"/>
      <c r="I12" s="108"/>
      <c r="J12" s="108"/>
      <c r="K12" s="109"/>
    </row>
    <row r="13" spans="1:16" ht="120" customHeight="1">
      <c r="B13" s="75"/>
      <c r="C13" s="55" t="s">
        <v>188</v>
      </c>
      <c r="D13" s="56"/>
      <c r="E13" s="57" t="s">
        <v>224</v>
      </c>
      <c r="F13" s="108"/>
      <c r="G13" s="108"/>
      <c r="H13" s="108"/>
      <c r="I13" s="108"/>
      <c r="J13" s="108"/>
      <c r="K13" s="109"/>
    </row>
    <row r="14" spans="1:16" ht="120" customHeight="1">
      <c r="B14" s="53" t="s">
        <v>194</v>
      </c>
      <c r="C14" s="55" t="s">
        <v>189</v>
      </c>
      <c r="D14" s="56"/>
      <c r="E14" s="57" t="s">
        <v>225</v>
      </c>
      <c r="F14" s="108"/>
      <c r="G14" s="108"/>
      <c r="H14" s="108"/>
      <c r="I14" s="108"/>
      <c r="J14" s="108"/>
      <c r="K14" s="109"/>
    </row>
    <row r="15" spans="1:16" ht="120" customHeight="1">
      <c r="B15" s="54"/>
      <c r="C15" s="55" t="s">
        <v>190</v>
      </c>
      <c r="D15" s="56"/>
      <c r="E15" s="57" t="s">
        <v>226</v>
      </c>
      <c r="F15" s="108"/>
      <c r="G15" s="108"/>
      <c r="H15" s="108"/>
      <c r="I15" s="108"/>
      <c r="J15" s="108"/>
      <c r="K15" s="109"/>
    </row>
    <row r="16" spans="1:16" ht="120" customHeight="1" thickBot="1">
      <c r="B16" s="40" t="s">
        <v>195</v>
      </c>
      <c r="C16" s="60" t="s">
        <v>191</v>
      </c>
      <c r="D16" s="61"/>
      <c r="E16" s="62" t="s">
        <v>227</v>
      </c>
      <c r="F16" s="110"/>
      <c r="G16" s="110"/>
      <c r="H16" s="110"/>
      <c r="I16" s="110"/>
      <c r="J16" s="110"/>
      <c r="K16" s="111"/>
    </row>
    <row r="17" spans="10:10" ht="16.5" customHeight="1"/>
    <row r="19" spans="10:10">
      <c r="J19" s="33" t="s">
        <v>198</v>
      </c>
    </row>
  </sheetData>
  <mergeCells count="29">
    <mergeCell ref="B4:K4"/>
    <mergeCell ref="B2:K2"/>
    <mergeCell ref="B3:K3"/>
    <mergeCell ref="B5:K5"/>
    <mergeCell ref="B6:K6"/>
    <mergeCell ref="C7:E7"/>
    <mergeCell ref="F7:H7"/>
    <mergeCell ref="I7:K7"/>
    <mergeCell ref="C16:D16"/>
    <mergeCell ref="E16:K16"/>
    <mergeCell ref="G9:H9"/>
    <mergeCell ref="B10:K10"/>
    <mergeCell ref="C11:D11"/>
    <mergeCell ref="E11:K11"/>
    <mergeCell ref="B12:B13"/>
    <mergeCell ref="C12:D12"/>
    <mergeCell ref="E12:K12"/>
    <mergeCell ref="C13:D13"/>
    <mergeCell ref="E13:K13"/>
    <mergeCell ref="B8:B9"/>
    <mergeCell ref="C8:E9"/>
    <mergeCell ref="G8:H8"/>
    <mergeCell ref="I8:I9"/>
    <mergeCell ref="J8:K9"/>
    <mergeCell ref="B14:B15"/>
    <mergeCell ref="C14:D14"/>
    <mergeCell ref="E14:K14"/>
    <mergeCell ref="C15:D15"/>
    <mergeCell ref="E15:K15"/>
  </mergeCells>
  <phoneticPr fontId="25" type="noConversion"/>
  <printOptions horizontalCentered="1"/>
  <pageMargins left="0.23622047244094499" right="0.23622047244094499" top="0.74803149606299202" bottom="0.74803149606299202" header="0.31496062992126" footer="0.31496062992126"/>
  <pageSetup paperSize="9" scale="4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F56B7-9720-4253-8CF6-4FA59A0CE13C}">
  <sheetPr>
    <pageSetUpPr fitToPage="1"/>
  </sheetPr>
  <dimension ref="A1:P19"/>
  <sheetViews>
    <sheetView showGridLines="0" zoomScale="50" zoomScaleNormal="50" zoomScalePageLayoutView="40" workbookViewId="0">
      <selection activeCell="J8" sqref="J8:K9"/>
    </sheetView>
  </sheetViews>
  <sheetFormatPr defaultColWidth="5.796875" defaultRowHeight="15"/>
  <cols>
    <col min="1" max="1" width="3.59765625" style="33" customWidth="1"/>
    <col min="2" max="2" width="20.59765625" style="33" customWidth="1"/>
    <col min="3" max="3" width="15.59765625" style="33" customWidth="1"/>
    <col min="4" max="5" width="20.59765625" style="33" customWidth="1"/>
    <col min="6" max="8" width="15.59765625" style="33" customWidth="1"/>
    <col min="9" max="9" width="30.59765625" style="33" customWidth="1"/>
    <col min="10" max="10" width="15.59765625" style="33" customWidth="1"/>
    <col min="11" max="11" width="30.59765625" style="33" customWidth="1"/>
    <col min="12" max="12" width="5.796875" style="33"/>
  </cols>
  <sheetData>
    <row r="1" spans="1:16" ht="15.4" thickBot="1"/>
    <row r="2" spans="1:16" ht="60" customHeight="1">
      <c r="B2" s="99" t="s">
        <v>169</v>
      </c>
      <c r="C2" s="100"/>
      <c r="D2" s="100"/>
      <c r="E2" s="100"/>
      <c r="F2" s="100"/>
      <c r="G2" s="100"/>
      <c r="H2" s="100"/>
      <c r="I2" s="100"/>
      <c r="J2" s="100"/>
      <c r="K2" s="101"/>
    </row>
    <row r="3" spans="1:16" ht="40.049999999999997" customHeight="1">
      <c r="B3" s="96" t="s">
        <v>178</v>
      </c>
      <c r="C3" s="97"/>
      <c r="D3" s="97"/>
      <c r="E3" s="97"/>
      <c r="F3" s="97"/>
      <c r="G3" s="97"/>
      <c r="H3" s="97"/>
      <c r="I3" s="97"/>
      <c r="J3" s="97"/>
      <c r="K3" s="98"/>
    </row>
    <row r="4" spans="1:16" ht="40.049999999999997" customHeight="1">
      <c r="B4" s="96" t="s">
        <v>6</v>
      </c>
      <c r="C4" s="97"/>
      <c r="D4" s="97"/>
      <c r="E4" s="97"/>
      <c r="F4" s="97"/>
      <c r="G4" s="97"/>
      <c r="H4" s="97"/>
      <c r="I4" s="97"/>
      <c r="J4" s="97"/>
      <c r="K4" s="98"/>
    </row>
    <row r="5" spans="1:16" ht="50" customHeight="1">
      <c r="B5" s="89" t="s">
        <v>177</v>
      </c>
      <c r="C5" s="90"/>
      <c r="D5" s="90"/>
      <c r="E5" s="90"/>
      <c r="F5" s="90"/>
      <c r="G5" s="90"/>
      <c r="H5" s="90"/>
      <c r="I5" s="90"/>
      <c r="J5" s="90"/>
      <c r="K5" s="91"/>
    </row>
    <row r="6" spans="1:16" ht="40.049999999999997" customHeight="1">
      <c r="A6" s="35"/>
      <c r="B6" s="67" t="s">
        <v>185</v>
      </c>
      <c r="C6" s="68"/>
      <c r="D6" s="68"/>
      <c r="E6" s="68"/>
      <c r="F6" s="68"/>
      <c r="G6" s="68"/>
      <c r="H6" s="68"/>
      <c r="I6" s="68"/>
      <c r="J6" s="68"/>
      <c r="K6" s="69"/>
      <c r="L6" s="35"/>
    </row>
    <row r="7" spans="1:16" s="37" customFormat="1" ht="60" customHeight="1">
      <c r="A7" s="36"/>
      <c r="B7" s="38" t="s">
        <v>179</v>
      </c>
      <c r="C7" s="92" t="s">
        <v>199</v>
      </c>
      <c r="D7" s="93"/>
      <c r="E7" s="93"/>
      <c r="F7" s="55" t="s">
        <v>180</v>
      </c>
      <c r="G7" s="94"/>
      <c r="H7" s="56"/>
      <c r="I7" s="92"/>
      <c r="J7" s="93"/>
      <c r="K7" s="95"/>
      <c r="L7" s="36"/>
    </row>
    <row r="8" spans="1:16" s="37" customFormat="1" ht="120" customHeight="1">
      <c r="A8" s="36"/>
      <c r="B8" s="76" t="s">
        <v>184</v>
      </c>
      <c r="C8" s="78" t="s">
        <v>230</v>
      </c>
      <c r="D8" s="79"/>
      <c r="E8" s="80"/>
      <c r="F8" s="51" t="s">
        <v>183</v>
      </c>
      <c r="G8" s="81" t="s">
        <v>210</v>
      </c>
      <c r="H8" s="82"/>
      <c r="I8" s="83" t="s">
        <v>182</v>
      </c>
      <c r="J8" s="85" t="s">
        <v>211</v>
      </c>
      <c r="K8" s="86"/>
      <c r="L8" s="36"/>
      <c r="P8" s="37" t="s">
        <v>198</v>
      </c>
    </row>
    <row r="9" spans="1:16" s="37" customFormat="1" ht="120" customHeight="1">
      <c r="A9" s="36"/>
      <c r="B9" s="77"/>
      <c r="C9" s="78"/>
      <c r="D9" s="79"/>
      <c r="E9" s="80"/>
      <c r="F9" s="51" t="s">
        <v>181</v>
      </c>
      <c r="G9" s="65" t="s">
        <v>209</v>
      </c>
      <c r="H9" s="66"/>
      <c r="I9" s="84"/>
      <c r="J9" s="87"/>
      <c r="K9" s="88"/>
      <c r="L9" s="36"/>
    </row>
    <row r="10" spans="1:16" ht="40.049999999999997" customHeight="1">
      <c r="A10" s="35"/>
      <c r="B10" s="67" t="s">
        <v>176</v>
      </c>
      <c r="C10" s="68"/>
      <c r="D10" s="68"/>
      <c r="E10" s="68"/>
      <c r="F10" s="68"/>
      <c r="G10" s="68"/>
      <c r="H10" s="68"/>
      <c r="I10" s="68"/>
      <c r="J10" s="68"/>
      <c r="K10" s="69"/>
      <c r="L10" s="35"/>
    </row>
    <row r="11" spans="1:16" ht="120" customHeight="1">
      <c r="B11" s="39" t="s">
        <v>192</v>
      </c>
      <c r="C11" s="70" t="s">
        <v>186</v>
      </c>
      <c r="D11" s="71"/>
      <c r="E11" s="72" t="s">
        <v>212</v>
      </c>
      <c r="F11" s="113"/>
      <c r="G11" s="113"/>
      <c r="H11" s="113"/>
      <c r="I11" s="113"/>
      <c r="J11" s="113"/>
      <c r="K11" s="114"/>
    </row>
    <row r="12" spans="1:16" ht="120" customHeight="1">
      <c r="B12" s="75" t="s">
        <v>193</v>
      </c>
      <c r="C12" s="55" t="s">
        <v>187</v>
      </c>
      <c r="D12" s="56"/>
      <c r="E12" s="57" t="s">
        <v>213</v>
      </c>
      <c r="F12" s="108"/>
      <c r="G12" s="108"/>
      <c r="H12" s="108"/>
      <c r="I12" s="108"/>
      <c r="J12" s="108"/>
      <c r="K12" s="109"/>
    </row>
    <row r="13" spans="1:16" ht="120" customHeight="1">
      <c r="B13" s="75"/>
      <c r="C13" s="55" t="s">
        <v>188</v>
      </c>
      <c r="D13" s="56"/>
      <c r="E13" s="57" t="s">
        <v>214</v>
      </c>
      <c r="F13" s="58"/>
      <c r="G13" s="58"/>
      <c r="H13" s="58"/>
      <c r="I13" s="58"/>
      <c r="J13" s="58"/>
      <c r="K13" s="59"/>
    </row>
    <row r="14" spans="1:16" ht="120" customHeight="1">
      <c r="B14" s="53" t="s">
        <v>194</v>
      </c>
      <c r="C14" s="55" t="s">
        <v>189</v>
      </c>
      <c r="D14" s="56"/>
      <c r="E14" s="112" t="s">
        <v>215</v>
      </c>
      <c r="F14" s="58"/>
      <c r="G14" s="58"/>
      <c r="H14" s="58"/>
      <c r="I14" s="58"/>
      <c r="J14" s="58"/>
      <c r="K14" s="59"/>
    </row>
    <row r="15" spans="1:16" ht="120" customHeight="1">
      <c r="B15" s="54"/>
      <c r="C15" s="55" t="s">
        <v>190</v>
      </c>
      <c r="D15" s="56"/>
      <c r="E15" s="112" t="s">
        <v>216</v>
      </c>
      <c r="F15" s="58"/>
      <c r="G15" s="58"/>
      <c r="H15" s="58"/>
      <c r="I15" s="58"/>
      <c r="J15" s="58"/>
      <c r="K15" s="59"/>
    </row>
    <row r="16" spans="1:16" ht="120" customHeight="1" thickBot="1">
      <c r="B16" s="40" t="s">
        <v>195</v>
      </c>
      <c r="C16" s="60" t="s">
        <v>191</v>
      </c>
      <c r="D16" s="61"/>
      <c r="E16" s="62" t="s">
        <v>217</v>
      </c>
      <c r="F16" s="63"/>
      <c r="G16" s="63"/>
      <c r="H16" s="63"/>
      <c r="I16" s="63"/>
      <c r="J16" s="63"/>
      <c r="K16" s="64"/>
    </row>
    <row r="17" spans="10:10" ht="16.5" customHeight="1"/>
    <row r="19" spans="10:10">
      <c r="J19" s="33" t="s">
        <v>198</v>
      </c>
    </row>
  </sheetData>
  <mergeCells count="29">
    <mergeCell ref="B4:K4"/>
    <mergeCell ref="B2:K2"/>
    <mergeCell ref="B3:K3"/>
    <mergeCell ref="B5:K5"/>
    <mergeCell ref="B6:K6"/>
    <mergeCell ref="C7:E7"/>
    <mergeCell ref="F7:H7"/>
    <mergeCell ref="I7:K7"/>
    <mergeCell ref="C16:D16"/>
    <mergeCell ref="E16:K16"/>
    <mergeCell ref="G9:H9"/>
    <mergeCell ref="B10:K10"/>
    <mergeCell ref="C11:D11"/>
    <mergeCell ref="E11:K11"/>
    <mergeCell ref="B12:B13"/>
    <mergeCell ref="C12:D12"/>
    <mergeCell ref="E12:K12"/>
    <mergeCell ref="C13:D13"/>
    <mergeCell ref="E13:K13"/>
    <mergeCell ref="B8:B9"/>
    <mergeCell ref="C8:E9"/>
    <mergeCell ref="G8:H8"/>
    <mergeCell ref="I8:I9"/>
    <mergeCell ref="J8:K9"/>
    <mergeCell ref="B14:B15"/>
    <mergeCell ref="C14:D14"/>
    <mergeCell ref="E14:K14"/>
    <mergeCell ref="C15:D15"/>
    <mergeCell ref="E15:K15"/>
  </mergeCells>
  <phoneticPr fontId="25" type="noConversion"/>
  <printOptions horizontalCentered="1"/>
  <pageMargins left="0.23622047244094499" right="0.23622047244094499" top="0.74803149606299202" bottom="0.74803149606299202" header="0.31496062992126" footer="0.31496062992126"/>
  <pageSetup paperSize="9" scale="4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5BE1-1BF7-4250-A409-447C62200F5A}">
  <sheetPr>
    <pageSetUpPr fitToPage="1"/>
  </sheetPr>
  <dimension ref="A1:P21"/>
  <sheetViews>
    <sheetView showGridLines="0" tabSelected="1" zoomScale="25" zoomScaleNormal="25" zoomScalePageLayoutView="40" workbookViewId="0">
      <selection activeCell="C10" sqref="C10:E11"/>
    </sheetView>
  </sheetViews>
  <sheetFormatPr defaultColWidth="5.796875" defaultRowHeight="15"/>
  <cols>
    <col min="1" max="1" width="3.59765625" style="33" customWidth="1"/>
    <col min="2" max="2" width="20.59765625" style="33" customWidth="1"/>
    <col min="3" max="3" width="15.59765625" style="33" customWidth="1"/>
    <col min="4" max="5" width="20.59765625" style="33" customWidth="1"/>
    <col min="6" max="8" width="15.59765625" style="33" customWidth="1"/>
    <col min="9" max="9" width="30.59765625" style="33" customWidth="1"/>
    <col min="10" max="10" width="15.59765625" style="33" customWidth="1"/>
    <col min="11" max="11" width="30.59765625" style="33" customWidth="1"/>
    <col min="12" max="12" width="5.796875" style="33"/>
  </cols>
  <sheetData>
    <row r="1" spans="1:16" ht="15.4" thickBot="1"/>
    <row r="2" spans="1:16" ht="60" customHeight="1">
      <c r="B2" s="99" t="s">
        <v>169</v>
      </c>
      <c r="C2" s="100"/>
      <c r="D2" s="100"/>
      <c r="E2" s="100"/>
      <c r="F2" s="100"/>
      <c r="G2" s="100"/>
      <c r="H2" s="100"/>
      <c r="I2" s="100"/>
      <c r="J2" s="100"/>
      <c r="K2" s="101"/>
    </row>
    <row r="3" spans="1:16" ht="40.049999999999997" customHeight="1">
      <c r="B3" s="96" t="s">
        <v>178</v>
      </c>
      <c r="C3" s="97"/>
      <c r="D3" s="97"/>
      <c r="E3" s="97"/>
      <c r="F3" s="97"/>
      <c r="G3" s="97"/>
      <c r="H3" s="97"/>
      <c r="I3" s="97"/>
      <c r="J3" s="97"/>
      <c r="K3" s="98"/>
    </row>
    <row r="4" spans="1:16" s="32" customFormat="1" ht="60" customHeight="1">
      <c r="A4" s="34"/>
      <c r="B4" s="102" t="s">
        <v>200</v>
      </c>
      <c r="C4" s="41" t="s">
        <v>175</v>
      </c>
      <c r="D4" s="104"/>
      <c r="E4" s="105"/>
      <c r="F4" s="41" t="s">
        <v>171</v>
      </c>
      <c r="G4" s="42"/>
      <c r="H4" s="43" t="s">
        <v>173</v>
      </c>
      <c r="I4" s="42"/>
      <c r="J4" s="41" t="s">
        <v>196</v>
      </c>
      <c r="K4" s="44"/>
      <c r="L4" s="34"/>
    </row>
    <row r="5" spans="1:16" s="32" customFormat="1" ht="60" customHeight="1">
      <c r="A5" s="34"/>
      <c r="B5" s="103"/>
      <c r="C5" s="45" t="s">
        <v>170</v>
      </c>
      <c r="D5" s="106"/>
      <c r="E5" s="107"/>
      <c r="F5" s="45" t="s">
        <v>172</v>
      </c>
      <c r="G5" s="46"/>
      <c r="H5" s="47" t="s">
        <v>174</v>
      </c>
      <c r="I5" s="48"/>
      <c r="J5" s="49" t="s">
        <v>197</v>
      </c>
      <c r="K5" s="50"/>
      <c r="L5" s="34"/>
    </row>
    <row r="6" spans="1:16" ht="40.049999999999997" customHeight="1">
      <c r="B6" s="96" t="s">
        <v>6</v>
      </c>
      <c r="C6" s="97"/>
      <c r="D6" s="97"/>
      <c r="E6" s="97"/>
      <c r="F6" s="97"/>
      <c r="G6" s="97"/>
      <c r="H6" s="97"/>
      <c r="I6" s="97"/>
      <c r="J6" s="97"/>
      <c r="K6" s="98"/>
    </row>
    <row r="7" spans="1:16" ht="50" customHeight="1">
      <c r="B7" s="89" t="s">
        <v>177</v>
      </c>
      <c r="C7" s="90"/>
      <c r="D7" s="90"/>
      <c r="E7" s="90"/>
      <c r="F7" s="90"/>
      <c r="G7" s="90"/>
      <c r="H7" s="90"/>
      <c r="I7" s="90"/>
      <c r="J7" s="90"/>
      <c r="K7" s="91"/>
    </row>
    <row r="8" spans="1:16" ht="40.049999999999997" customHeight="1">
      <c r="A8" s="35"/>
      <c r="B8" s="67" t="s">
        <v>185</v>
      </c>
      <c r="C8" s="68"/>
      <c r="D8" s="68"/>
      <c r="E8" s="68"/>
      <c r="F8" s="68"/>
      <c r="G8" s="68"/>
      <c r="H8" s="68"/>
      <c r="I8" s="68"/>
      <c r="J8" s="68"/>
      <c r="K8" s="69"/>
      <c r="L8" s="35"/>
    </row>
    <row r="9" spans="1:16" s="37" customFormat="1" ht="60" customHeight="1">
      <c r="A9" s="36"/>
      <c r="B9" s="38" t="s">
        <v>179</v>
      </c>
      <c r="C9" s="92" t="s">
        <v>199</v>
      </c>
      <c r="D9" s="93"/>
      <c r="E9" s="93"/>
      <c r="F9" s="55" t="s">
        <v>180</v>
      </c>
      <c r="G9" s="94"/>
      <c r="H9" s="56"/>
      <c r="I9" s="92"/>
      <c r="J9" s="93"/>
      <c r="K9" s="95"/>
      <c r="L9" s="36"/>
    </row>
    <row r="10" spans="1:16" s="37" customFormat="1" ht="120" customHeight="1">
      <c r="A10" s="36"/>
      <c r="B10" s="76" t="s">
        <v>184</v>
      </c>
      <c r="C10" s="78" t="s">
        <v>229</v>
      </c>
      <c r="D10" s="79"/>
      <c r="E10" s="80"/>
      <c r="F10" s="51" t="s">
        <v>183</v>
      </c>
      <c r="G10" s="81" t="s">
        <v>201</v>
      </c>
      <c r="H10" s="82"/>
      <c r="I10" s="83" t="s">
        <v>182</v>
      </c>
      <c r="J10" s="85" t="s">
        <v>202</v>
      </c>
      <c r="K10" s="86"/>
      <c r="L10" s="36"/>
      <c r="P10" s="37" t="s">
        <v>198</v>
      </c>
    </row>
    <row r="11" spans="1:16" s="37" customFormat="1" ht="120" customHeight="1">
      <c r="A11" s="36"/>
      <c r="B11" s="77"/>
      <c r="C11" s="78"/>
      <c r="D11" s="79"/>
      <c r="E11" s="80"/>
      <c r="F11" s="51" t="s">
        <v>181</v>
      </c>
      <c r="G11" s="65" t="s">
        <v>203</v>
      </c>
      <c r="H11" s="66"/>
      <c r="I11" s="84"/>
      <c r="J11" s="87"/>
      <c r="K11" s="88"/>
      <c r="L11" s="36"/>
    </row>
    <row r="12" spans="1:16" ht="40.049999999999997" customHeight="1">
      <c r="A12" s="35"/>
      <c r="B12" s="67" t="s">
        <v>176</v>
      </c>
      <c r="C12" s="68"/>
      <c r="D12" s="68"/>
      <c r="E12" s="68"/>
      <c r="F12" s="68"/>
      <c r="G12" s="68"/>
      <c r="H12" s="68"/>
      <c r="I12" s="68"/>
      <c r="J12" s="68"/>
      <c r="K12" s="69"/>
      <c r="L12" s="35"/>
    </row>
    <row r="13" spans="1:16" ht="120" customHeight="1">
      <c r="B13" s="39" t="s">
        <v>192</v>
      </c>
      <c r="C13" s="70" t="s">
        <v>186</v>
      </c>
      <c r="D13" s="71"/>
      <c r="E13" s="72" t="s">
        <v>204</v>
      </c>
      <c r="F13" s="73"/>
      <c r="G13" s="73"/>
      <c r="H13" s="73"/>
      <c r="I13" s="73"/>
      <c r="J13" s="73"/>
      <c r="K13" s="74"/>
    </row>
    <row r="14" spans="1:16" ht="120" customHeight="1">
      <c r="B14" s="75" t="s">
        <v>193</v>
      </c>
      <c r="C14" s="55" t="s">
        <v>187</v>
      </c>
      <c r="D14" s="56"/>
      <c r="E14" s="57" t="s">
        <v>205</v>
      </c>
      <c r="F14" s="58"/>
      <c r="G14" s="58"/>
      <c r="H14" s="58"/>
      <c r="I14" s="58"/>
      <c r="J14" s="58"/>
      <c r="K14" s="59"/>
    </row>
    <row r="15" spans="1:16" ht="120" customHeight="1">
      <c r="B15" s="75"/>
      <c r="C15" s="55" t="s">
        <v>188</v>
      </c>
      <c r="D15" s="56"/>
      <c r="E15" s="57" t="s">
        <v>218</v>
      </c>
      <c r="F15" s="108"/>
      <c r="G15" s="108"/>
      <c r="H15" s="108"/>
      <c r="I15" s="108"/>
      <c r="J15" s="108"/>
      <c r="K15" s="109"/>
    </row>
    <row r="16" spans="1:16" ht="120" customHeight="1">
      <c r="B16" s="53" t="s">
        <v>194</v>
      </c>
      <c r="C16" s="55" t="s">
        <v>189</v>
      </c>
      <c r="D16" s="56"/>
      <c r="E16" s="57" t="s">
        <v>206</v>
      </c>
      <c r="F16" s="108"/>
      <c r="G16" s="108"/>
      <c r="H16" s="108"/>
      <c r="I16" s="108"/>
      <c r="J16" s="108"/>
      <c r="K16" s="109"/>
    </row>
    <row r="17" spans="2:11" ht="120" customHeight="1">
      <c r="B17" s="54"/>
      <c r="C17" s="55" t="s">
        <v>190</v>
      </c>
      <c r="D17" s="56"/>
      <c r="E17" s="57" t="s">
        <v>207</v>
      </c>
      <c r="F17" s="58"/>
      <c r="G17" s="58"/>
      <c r="H17" s="58"/>
      <c r="I17" s="58"/>
      <c r="J17" s="58"/>
      <c r="K17" s="59"/>
    </row>
    <row r="18" spans="2:11" ht="120" customHeight="1" thickBot="1">
      <c r="B18" s="40" t="s">
        <v>195</v>
      </c>
      <c r="C18" s="60" t="s">
        <v>191</v>
      </c>
      <c r="D18" s="61"/>
      <c r="E18" s="62" t="s">
        <v>208</v>
      </c>
      <c r="F18" s="63"/>
      <c r="G18" s="63"/>
      <c r="H18" s="63"/>
      <c r="I18" s="63"/>
      <c r="J18" s="63"/>
      <c r="K18" s="64"/>
    </row>
    <row r="19" spans="2:11" ht="16.5" customHeight="1"/>
    <row r="21" spans="2:11">
      <c r="J21" s="33" t="s">
        <v>198</v>
      </c>
    </row>
  </sheetData>
  <mergeCells count="32">
    <mergeCell ref="B6:K6"/>
    <mergeCell ref="B2:K2"/>
    <mergeCell ref="B3:K3"/>
    <mergeCell ref="B4:B5"/>
    <mergeCell ref="D4:E4"/>
    <mergeCell ref="D5:E5"/>
    <mergeCell ref="B7:K7"/>
    <mergeCell ref="B8:K8"/>
    <mergeCell ref="C9:E9"/>
    <mergeCell ref="F9:H9"/>
    <mergeCell ref="I9:K9"/>
    <mergeCell ref="C18:D18"/>
    <mergeCell ref="E18:K18"/>
    <mergeCell ref="G11:H11"/>
    <mergeCell ref="B12:K12"/>
    <mergeCell ref="C13:D13"/>
    <mergeCell ref="E13:K13"/>
    <mergeCell ref="B14:B15"/>
    <mergeCell ref="C14:D14"/>
    <mergeCell ref="E14:K14"/>
    <mergeCell ref="C15:D15"/>
    <mergeCell ref="E15:K15"/>
    <mergeCell ref="B10:B11"/>
    <mergeCell ref="C10:E11"/>
    <mergeCell ref="G10:H10"/>
    <mergeCell ref="I10:I11"/>
    <mergeCell ref="J10:K11"/>
    <mergeCell ref="B16:B17"/>
    <mergeCell ref="C16:D16"/>
    <mergeCell ref="E16:K16"/>
    <mergeCell ref="C17:D17"/>
    <mergeCell ref="E17:K17"/>
  </mergeCells>
  <phoneticPr fontId="25" type="noConversion"/>
  <printOptions horizontalCentered="1"/>
  <pageMargins left="0.23622047244094499" right="0.23622047244094499" top="0.74803149606299202" bottom="0.74803149606299202" header="0.31496062992126" footer="0.31496062992126"/>
  <pageSetup paperSize="9" scale="4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0"/>
  <sheetViews>
    <sheetView zoomScale="80" zoomScaleNormal="80" workbookViewId="0">
      <selection activeCell="P1" sqref="A1:P50"/>
    </sheetView>
  </sheetViews>
  <sheetFormatPr defaultColWidth="8.73046875" defaultRowHeight="13.9"/>
  <cols>
    <col min="1" max="1" width="20.53125" style="8" customWidth="1"/>
    <col min="2" max="2" width="9" style="2"/>
    <col min="3" max="3" width="10.53125" style="2"/>
    <col min="4" max="4" width="11.73046875" style="2" customWidth="1"/>
    <col min="5" max="5" width="9.59765625" style="2" customWidth="1"/>
    <col min="6" max="6" width="13.33203125" style="2" hidden="1" customWidth="1"/>
    <col min="7" max="7" width="16.9296875" style="3" hidden="1" customWidth="1"/>
    <col min="8" max="8" width="6.9296875" style="2" hidden="1" customWidth="1"/>
    <col min="9" max="9" width="6.73046875" style="2" hidden="1" customWidth="1"/>
    <col min="10" max="10" width="5.06640625" style="4" hidden="1" customWidth="1"/>
    <col min="11" max="11" width="5.33203125" style="4" hidden="1" customWidth="1"/>
    <col min="12" max="12" width="5.33203125" style="4" customWidth="1"/>
    <col min="13" max="13" width="14.59765625" style="3" customWidth="1"/>
    <col min="14" max="15" width="18.06640625" style="3" customWidth="1"/>
    <col min="16" max="16" width="26.796875" style="2" customWidth="1"/>
    <col min="17" max="16384" width="8.73046875" style="2"/>
  </cols>
  <sheetData>
    <row r="1" spans="1:16" s="1" customFormat="1" ht="73.150000000000006">
      <c r="A1" s="18" t="s">
        <v>70</v>
      </c>
      <c r="B1" s="5" t="s">
        <v>71</v>
      </c>
      <c r="C1" s="9" t="s">
        <v>72</v>
      </c>
      <c r="D1" s="9" t="s">
        <v>73</v>
      </c>
      <c r="E1" s="5" t="s">
        <v>7</v>
      </c>
      <c r="F1" s="5" t="s">
        <v>1</v>
      </c>
      <c r="G1" s="5" t="s">
        <v>4</v>
      </c>
      <c r="H1" s="5" t="s">
        <v>5</v>
      </c>
      <c r="I1" s="5" t="s">
        <v>8</v>
      </c>
      <c r="J1" s="5" t="s">
        <v>2</v>
      </c>
      <c r="K1" s="5" t="s">
        <v>3</v>
      </c>
      <c r="L1" s="29" t="s">
        <v>74</v>
      </c>
      <c r="M1" s="7" t="s">
        <v>75</v>
      </c>
      <c r="N1" s="7" t="s">
        <v>76</v>
      </c>
      <c r="O1" s="7" t="s">
        <v>77</v>
      </c>
      <c r="P1" s="7" t="s">
        <v>78</v>
      </c>
    </row>
    <row r="2" spans="1:16" s="3" customFormat="1" ht="55.5">
      <c r="A2" s="6" t="s">
        <v>39</v>
      </c>
      <c r="B2" s="10">
        <v>1</v>
      </c>
      <c r="C2" s="11">
        <v>45589</v>
      </c>
      <c r="D2" s="19" t="s">
        <v>79</v>
      </c>
      <c r="E2" s="12" t="s">
        <v>37</v>
      </c>
      <c r="F2" s="12" t="s">
        <v>19</v>
      </c>
      <c r="G2" s="13" t="s">
        <v>38</v>
      </c>
      <c r="H2" s="14">
        <v>3</v>
      </c>
      <c r="I2" s="15">
        <v>11</v>
      </c>
      <c r="J2" s="10" t="s">
        <v>14</v>
      </c>
      <c r="K2" s="16">
        <v>37</v>
      </c>
      <c r="L2" s="16">
        <f>AVERAGE(M2:O2)</f>
        <v>9.2333333333333325</v>
      </c>
      <c r="M2" s="6">
        <v>9.5</v>
      </c>
      <c r="N2" s="6">
        <v>9.1999999999999993</v>
      </c>
      <c r="O2" s="6">
        <v>9</v>
      </c>
      <c r="P2" s="17" t="s">
        <v>80</v>
      </c>
    </row>
    <row r="3" spans="1:16" s="3" customFormat="1" ht="41.65">
      <c r="A3" s="6" t="s">
        <v>39</v>
      </c>
      <c r="B3" s="10">
        <v>2</v>
      </c>
      <c r="C3" s="11">
        <v>45589</v>
      </c>
      <c r="D3" s="19" t="s">
        <v>81</v>
      </c>
      <c r="E3" s="12" t="s">
        <v>59</v>
      </c>
      <c r="F3" s="12" t="s">
        <v>56</v>
      </c>
      <c r="G3" s="13" t="s">
        <v>24</v>
      </c>
      <c r="H3" s="14">
        <v>3</v>
      </c>
      <c r="I3" s="15">
        <v>7</v>
      </c>
      <c r="J3" s="10" t="s">
        <v>11</v>
      </c>
      <c r="K3" s="16">
        <v>34</v>
      </c>
      <c r="L3" s="16">
        <f t="shared" ref="L3:L50" si="0">AVERAGE(M3:O3)</f>
        <v>7.5</v>
      </c>
      <c r="M3" s="6">
        <v>7.5</v>
      </c>
      <c r="N3" s="6">
        <v>7.5</v>
      </c>
      <c r="O3" s="6">
        <v>7.5</v>
      </c>
      <c r="P3" s="17" t="s">
        <v>82</v>
      </c>
    </row>
    <row r="4" spans="1:16" s="3" customFormat="1" ht="235.9">
      <c r="A4" s="20" t="s">
        <v>83</v>
      </c>
      <c r="B4" s="10">
        <v>1</v>
      </c>
      <c r="C4" s="21">
        <v>45615</v>
      </c>
      <c r="D4" s="22" t="s">
        <v>84</v>
      </c>
      <c r="E4" s="6" t="s">
        <v>12</v>
      </c>
      <c r="F4" s="23" t="s">
        <v>51</v>
      </c>
      <c r="G4" s="20" t="s">
        <v>13</v>
      </c>
      <c r="H4" s="20">
        <v>1</v>
      </c>
      <c r="I4" s="20">
        <v>12</v>
      </c>
      <c r="J4" s="20" t="s">
        <v>14</v>
      </c>
      <c r="K4" s="20">
        <v>42</v>
      </c>
      <c r="L4" s="16">
        <f t="shared" si="0"/>
        <v>8.1666666666666661</v>
      </c>
      <c r="M4" s="20">
        <v>8</v>
      </c>
      <c r="N4" s="20">
        <v>8.5</v>
      </c>
      <c r="O4" s="20">
        <v>8</v>
      </c>
      <c r="P4" s="30" t="s">
        <v>85</v>
      </c>
    </row>
    <row r="5" spans="1:16" s="3" customFormat="1" ht="152.65">
      <c r="A5" s="20" t="s">
        <v>83</v>
      </c>
      <c r="B5" s="10">
        <v>2</v>
      </c>
      <c r="C5" s="21">
        <v>45623</v>
      </c>
      <c r="D5" s="22" t="s">
        <v>86</v>
      </c>
      <c r="E5" s="6" t="s">
        <v>15</v>
      </c>
      <c r="F5" s="23" t="s">
        <v>16</v>
      </c>
      <c r="G5" s="23" t="s">
        <v>17</v>
      </c>
      <c r="H5" s="20">
        <v>3</v>
      </c>
      <c r="I5" s="20">
        <v>11</v>
      </c>
      <c r="J5" s="20" t="s">
        <v>11</v>
      </c>
      <c r="K5" s="20">
        <v>37</v>
      </c>
      <c r="L5" s="16">
        <f t="shared" si="0"/>
        <v>8.3333333333333339</v>
      </c>
      <c r="M5" s="20">
        <v>9</v>
      </c>
      <c r="N5" s="20">
        <v>8</v>
      </c>
      <c r="O5" s="20">
        <v>8</v>
      </c>
      <c r="P5" s="30" t="s">
        <v>87</v>
      </c>
    </row>
    <row r="6" spans="1:16" s="3" customFormat="1" ht="111">
      <c r="A6" s="20" t="s">
        <v>88</v>
      </c>
      <c r="B6" s="10">
        <v>1</v>
      </c>
      <c r="C6" s="21">
        <v>45614</v>
      </c>
      <c r="D6" s="22" t="s">
        <v>89</v>
      </c>
      <c r="E6" s="6" t="s">
        <v>65</v>
      </c>
      <c r="F6" s="23" t="s">
        <v>26</v>
      </c>
      <c r="G6" s="20" t="s">
        <v>46</v>
      </c>
      <c r="H6" s="20">
        <v>1</v>
      </c>
      <c r="I6" s="20">
        <v>1</v>
      </c>
      <c r="J6" s="20" t="s">
        <v>11</v>
      </c>
      <c r="K6" s="20">
        <v>23</v>
      </c>
      <c r="L6" s="16">
        <f t="shared" si="0"/>
        <v>5.666666666666667</v>
      </c>
      <c r="M6" s="20">
        <v>5.5</v>
      </c>
      <c r="N6" s="20">
        <v>5</v>
      </c>
      <c r="O6" s="20">
        <v>6.5</v>
      </c>
      <c r="P6" s="30" t="s">
        <v>90</v>
      </c>
    </row>
    <row r="7" spans="1:16" s="3" customFormat="1" ht="138.75">
      <c r="A7" s="20" t="s">
        <v>88</v>
      </c>
      <c r="B7" s="10">
        <v>2</v>
      </c>
      <c r="C7" s="21">
        <v>45614</v>
      </c>
      <c r="D7" s="22" t="s">
        <v>91</v>
      </c>
      <c r="E7" s="6" t="s">
        <v>69</v>
      </c>
      <c r="F7" s="23" t="s">
        <v>56</v>
      </c>
      <c r="G7" s="20" t="s">
        <v>20</v>
      </c>
      <c r="H7" s="20">
        <v>3</v>
      </c>
      <c r="I7" s="20">
        <v>11</v>
      </c>
      <c r="J7" s="20" t="s">
        <v>14</v>
      </c>
      <c r="K7" s="20">
        <v>39</v>
      </c>
      <c r="L7" s="16">
        <f t="shared" si="0"/>
        <v>6.166666666666667</v>
      </c>
      <c r="M7" s="20">
        <v>6</v>
      </c>
      <c r="N7" s="20">
        <v>6.5</v>
      </c>
      <c r="O7" s="20">
        <v>6</v>
      </c>
      <c r="P7" s="30" t="s">
        <v>92</v>
      </c>
    </row>
    <row r="8" spans="1:16" s="3" customFormat="1" ht="124.9">
      <c r="A8" s="20" t="s">
        <v>88</v>
      </c>
      <c r="B8" s="10">
        <v>3</v>
      </c>
      <c r="C8" s="21">
        <v>45614</v>
      </c>
      <c r="D8" s="22" t="s">
        <v>93</v>
      </c>
      <c r="E8" s="6" t="s">
        <v>34</v>
      </c>
      <c r="F8" s="23" t="s">
        <v>19</v>
      </c>
      <c r="G8" s="20" t="s">
        <v>24</v>
      </c>
      <c r="H8" s="20">
        <v>3</v>
      </c>
      <c r="I8" s="20">
        <v>12</v>
      </c>
      <c r="J8" s="20" t="s">
        <v>14</v>
      </c>
      <c r="K8" s="20">
        <v>35</v>
      </c>
      <c r="L8" s="16">
        <f t="shared" si="0"/>
        <v>7.833333333333333</v>
      </c>
      <c r="M8" s="20">
        <v>8.5</v>
      </c>
      <c r="N8" s="20">
        <v>7.5</v>
      </c>
      <c r="O8" s="20">
        <v>7.5</v>
      </c>
      <c r="P8" s="30" t="s">
        <v>94</v>
      </c>
    </row>
    <row r="9" spans="1:16" s="3" customFormat="1" ht="166.5">
      <c r="A9" s="20" t="s">
        <v>88</v>
      </c>
      <c r="B9" s="10">
        <v>4</v>
      </c>
      <c r="C9" s="21">
        <v>45615</v>
      </c>
      <c r="D9" s="22" t="s">
        <v>95</v>
      </c>
      <c r="E9" s="6" t="s">
        <v>50</v>
      </c>
      <c r="F9" s="23" t="s">
        <v>51</v>
      </c>
      <c r="G9" s="20" t="s">
        <v>52</v>
      </c>
      <c r="H9" s="20">
        <v>1</v>
      </c>
      <c r="I9" s="20">
        <v>1</v>
      </c>
      <c r="J9" s="20" t="s">
        <v>11</v>
      </c>
      <c r="K9" s="20">
        <v>46</v>
      </c>
      <c r="L9" s="16">
        <f t="shared" si="0"/>
        <v>7.833333333333333</v>
      </c>
      <c r="M9" s="20">
        <v>8</v>
      </c>
      <c r="N9" s="20">
        <v>7</v>
      </c>
      <c r="O9" s="20">
        <v>8.5</v>
      </c>
      <c r="P9" s="30" t="s">
        <v>96</v>
      </c>
    </row>
    <row r="10" spans="1:16" s="3" customFormat="1" ht="152.65">
      <c r="A10" s="20" t="s">
        <v>88</v>
      </c>
      <c r="B10" s="10">
        <v>5</v>
      </c>
      <c r="C10" s="21">
        <v>45615</v>
      </c>
      <c r="D10" s="22" t="s">
        <v>84</v>
      </c>
      <c r="E10" s="6" t="s">
        <v>12</v>
      </c>
      <c r="F10" s="23" t="s">
        <v>51</v>
      </c>
      <c r="G10" s="20" t="s">
        <v>13</v>
      </c>
      <c r="H10" s="20">
        <v>1</v>
      </c>
      <c r="I10" s="20">
        <v>12</v>
      </c>
      <c r="J10" s="20" t="s">
        <v>14</v>
      </c>
      <c r="K10" s="20">
        <v>42</v>
      </c>
      <c r="L10" s="16">
        <f t="shared" si="0"/>
        <v>8.6666666666666661</v>
      </c>
      <c r="M10" s="20">
        <v>9</v>
      </c>
      <c r="N10" s="20">
        <v>9</v>
      </c>
      <c r="O10" s="20">
        <v>8</v>
      </c>
      <c r="P10" s="30" t="s">
        <v>97</v>
      </c>
    </row>
    <row r="11" spans="1:16" s="3" customFormat="1" ht="180.4">
      <c r="A11" s="20" t="s">
        <v>98</v>
      </c>
      <c r="B11" s="10">
        <v>1</v>
      </c>
      <c r="C11" s="21">
        <v>45614</v>
      </c>
      <c r="D11" s="22" t="s">
        <v>99</v>
      </c>
      <c r="E11" s="6" t="s">
        <v>63</v>
      </c>
      <c r="F11" s="23" t="s">
        <v>19</v>
      </c>
      <c r="G11" s="20" t="s">
        <v>64</v>
      </c>
      <c r="H11" s="20">
        <v>1</v>
      </c>
      <c r="I11" s="20">
        <v>1</v>
      </c>
      <c r="J11" s="20" t="s">
        <v>11</v>
      </c>
      <c r="K11" s="20">
        <v>26</v>
      </c>
      <c r="L11" s="16">
        <f t="shared" si="0"/>
        <v>5</v>
      </c>
      <c r="M11" s="20">
        <v>5</v>
      </c>
      <c r="N11" s="20">
        <v>5</v>
      </c>
      <c r="O11" s="20">
        <v>5</v>
      </c>
      <c r="P11" s="30" t="s">
        <v>100</v>
      </c>
    </row>
    <row r="12" spans="1:16" s="3" customFormat="1" ht="194.25">
      <c r="A12" s="20" t="s">
        <v>101</v>
      </c>
      <c r="B12" s="10">
        <v>1</v>
      </c>
      <c r="C12" s="21">
        <v>45615</v>
      </c>
      <c r="D12" s="22" t="s">
        <v>102</v>
      </c>
      <c r="E12" s="6" t="s">
        <v>0</v>
      </c>
      <c r="F12" s="23" t="s">
        <v>9</v>
      </c>
      <c r="G12" s="20" t="s">
        <v>10</v>
      </c>
      <c r="H12" s="20">
        <v>3</v>
      </c>
      <c r="I12" s="20">
        <v>6</v>
      </c>
      <c r="J12" s="20" t="s">
        <v>11</v>
      </c>
      <c r="K12" s="20">
        <v>32</v>
      </c>
      <c r="L12" s="16">
        <f t="shared" si="0"/>
        <v>7.5</v>
      </c>
      <c r="M12" s="20">
        <v>8</v>
      </c>
      <c r="N12" s="20">
        <v>7</v>
      </c>
      <c r="O12" s="20">
        <v>7.5</v>
      </c>
      <c r="P12" s="30" t="s">
        <v>103</v>
      </c>
    </row>
    <row r="13" spans="1:16" s="3" customFormat="1" ht="152.65">
      <c r="A13" s="20" t="s">
        <v>104</v>
      </c>
      <c r="B13" s="10">
        <v>1</v>
      </c>
      <c r="C13" s="21">
        <v>45623</v>
      </c>
      <c r="D13" s="22" t="s">
        <v>105</v>
      </c>
      <c r="E13" s="6" t="s">
        <v>36</v>
      </c>
      <c r="F13" s="23" t="s">
        <v>16</v>
      </c>
      <c r="G13" s="20" t="s">
        <v>32</v>
      </c>
      <c r="H13" s="20">
        <v>3</v>
      </c>
      <c r="I13" s="20">
        <v>10</v>
      </c>
      <c r="J13" s="20" t="s">
        <v>14</v>
      </c>
      <c r="K13" s="20">
        <v>34</v>
      </c>
      <c r="L13" s="16">
        <f t="shared" si="0"/>
        <v>7.166666666666667</v>
      </c>
      <c r="M13" s="20">
        <v>7.5</v>
      </c>
      <c r="N13" s="20">
        <v>7</v>
      </c>
      <c r="O13" s="20">
        <v>7</v>
      </c>
      <c r="P13" s="30" t="s">
        <v>106</v>
      </c>
    </row>
    <row r="14" spans="1:16" s="3" customFormat="1" ht="124.9">
      <c r="A14" s="20" t="s">
        <v>104</v>
      </c>
      <c r="B14" s="10">
        <v>2</v>
      </c>
      <c r="C14" s="21">
        <v>45615</v>
      </c>
      <c r="D14" s="22" t="s">
        <v>95</v>
      </c>
      <c r="E14" s="6" t="s">
        <v>50</v>
      </c>
      <c r="F14" s="23" t="s">
        <v>51</v>
      </c>
      <c r="G14" s="20" t="s">
        <v>52</v>
      </c>
      <c r="H14" s="20">
        <v>1</v>
      </c>
      <c r="I14" s="20">
        <v>1</v>
      </c>
      <c r="J14" s="20" t="s">
        <v>11</v>
      </c>
      <c r="K14" s="20">
        <v>46</v>
      </c>
      <c r="L14" s="16">
        <f t="shared" si="0"/>
        <v>8</v>
      </c>
      <c r="M14" s="20">
        <v>8.5</v>
      </c>
      <c r="N14" s="20">
        <v>7.5</v>
      </c>
      <c r="O14" s="20">
        <v>8</v>
      </c>
      <c r="P14" s="30" t="s">
        <v>107</v>
      </c>
    </row>
    <row r="15" spans="1:16" s="3" customFormat="1" ht="138.75">
      <c r="A15" s="20" t="s">
        <v>108</v>
      </c>
      <c r="B15" s="10">
        <v>1</v>
      </c>
      <c r="C15" s="21">
        <v>45614</v>
      </c>
      <c r="D15" s="22" t="s">
        <v>109</v>
      </c>
      <c r="E15" s="6" t="s">
        <v>66</v>
      </c>
      <c r="F15" s="23" t="s">
        <v>48</v>
      </c>
      <c r="G15" s="20" t="s">
        <v>57</v>
      </c>
      <c r="H15" s="20">
        <v>1</v>
      </c>
      <c r="I15" s="20">
        <v>10</v>
      </c>
      <c r="J15" s="20" t="s">
        <v>11</v>
      </c>
      <c r="K15" s="20">
        <v>36</v>
      </c>
      <c r="L15" s="16">
        <f t="shared" si="0"/>
        <v>8.1666666666666661</v>
      </c>
      <c r="M15" s="20">
        <v>8.5</v>
      </c>
      <c r="N15" s="20">
        <v>8</v>
      </c>
      <c r="O15" s="20">
        <v>8</v>
      </c>
      <c r="P15" s="30" t="s">
        <v>110</v>
      </c>
    </row>
    <row r="16" spans="1:16" s="3" customFormat="1" ht="124.9">
      <c r="A16" s="20" t="s">
        <v>108</v>
      </c>
      <c r="B16" s="10">
        <v>2</v>
      </c>
      <c r="C16" s="21">
        <v>45614</v>
      </c>
      <c r="D16" s="22" t="s">
        <v>111</v>
      </c>
      <c r="E16" s="6" t="s">
        <v>67</v>
      </c>
      <c r="F16" s="23" t="s">
        <v>48</v>
      </c>
      <c r="G16" s="20" t="s">
        <v>68</v>
      </c>
      <c r="H16" s="20">
        <v>3</v>
      </c>
      <c r="I16" s="20">
        <v>5</v>
      </c>
      <c r="J16" s="20" t="s">
        <v>11</v>
      </c>
      <c r="K16" s="20">
        <v>30</v>
      </c>
      <c r="L16" s="16">
        <f t="shared" si="0"/>
        <v>6.5</v>
      </c>
      <c r="M16" s="20">
        <v>7</v>
      </c>
      <c r="N16" s="20">
        <v>6.5</v>
      </c>
      <c r="O16" s="20">
        <v>6</v>
      </c>
      <c r="P16" s="30" t="s">
        <v>112</v>
      </c>
    </row>
    <row r="17" spans="1:16" s="3" customFormat="1" ht="208.15">
      <c r="A17" s="20" t="s">
        <v>108</v>
      </c>
      <c r="B17" s="10">
        <v>3</v>
      </c>
      <c r="C17" s="21">
        <v>45615</v>
      </c>
      <c r="D17" s="22" t="s">
        <v>113</v>
      </c>
      <c r="E17" s="6" t="s">
        <v>53</v>
      </c>
      <c r="F17" s="23" t="s">
        <v>31</v>
      </c>
      <c r="G17" s="20" t="s">
        <v>54</v>
      </c>
      <c r="H17" s="20">
        <v>1</v>
      </c>
      <c r="I17" s="20">
        <v>1</v>
      </c>
      <c r="J17" s="20" t="s">
        <v>14</v>
      </c>
      <c r="K17" s="20">
        <v>33</v>
      </c>
      <c r="L17" s="16">
        <f t="shared" si="0"/>
        <v>7.333333333333333</v>
      </c>
      <c r="M17" s="20">
        <v>8</v>
      </c>
      <c r="N17" s="20">
        <v>7</v>
      </c>
      <c r="O17" s="20">
        <v>7</v>
      </c>
      <c r="P17" s="30" t="s">
        <v>114</v>
      </c>
    </row>
    <row r="18" spans="1:16" s="3" customFormat="1" ht="166.5">
      <c r="A18" s="20" t="s">
        <v>115</v>
      </c>
      <c r="B18" s="10">
        <v>1</v>
      </c>
      <c r="C18" s="21">
        <v>45623</v>
      </c>
      <c r="D18" s="22" t="s">
        <v>116</v>
      </c>
      <c r="E18" s="6" t="s">
        <v>22</v>
      </c>
      <c r="F18" s="23" t="s">
        <v>23</v>
      </c>
      <c r="G18" s="20" t="s">
        <v>24</v>
      </c>
      <c r="H18" s="20">
        <v>3</v>
      </c>
      <c r="I18" s="20">
        <v>6</v>
      </c>
      <c r="J18" s="20" t="s">
        <v>11</v>
      </c>
      <c r="K18" s="20">
        <v>32</v>
      </c>
      <c r="L18" s="16">
        <f t="shared" si="0"/>
        <v>8.1666666666666661</v>
      </c>
      <c r="M18" s="20">
        <v>8.5</v>
      </c>
      <c r="N18" s="20">
        <v>8</v>
      </c>
      <c r="O18" s="20">
        <v>8</v>
      </c>
      <c r="P18" s="30" t="s">
        <v>117</v>
      </c>
    </row>
    <row r="19" spans="1:16" s="3" customFormat="1" ht="166.5">
      <c r="A19" s="20" t="s">
        <v>115</v>
      </c>
      <c r="B19" s="10">
        <v>2</v>
      </c>
      <c r="C19" s="21">
        <v>45614</v>
      </c>
      <c r="D19" s="22" t="s">
        <v>118</v>
      </c>
      <c r="E19" s="6" t="s">
        <v>30</v>
      </c>
      <c r="F19" s="23" t="s">
        <v>31</v>
      </c>
      <c r="G19" s="20" t="s">
        <v>32</v>
      </c>
      <c r="H19" s="20">
        <v>2</v>
      </c>
      <c r="I19" s="20">
        <v>2</v>
      </c>
      <c r="J19" s="20" t="s">
        <v>11</v>
      </c>
      <c r="K19" s="20">
        <v>38</v>
      </c>
      <c r="L19" s="16">
        <f t="shared" si="0"/>
        <v>8.1666666666666661</v>
      </c>
      <c r="M19" s="20">
        <v>8.5</v>
      </c>
      <c r="N19" s="20">
        <v>8</v>
      </c>
      <c r="O19" s="20">
        <v>8</v>
      </c>
      <c r="P19" s="30" t="s">
        <v>119</v>
      </c>
    </row>
    <row r="20" spans="1:16" s="3" customFormat="1" ht="111">
      <c r="A20" s="20" t="s">
        <v>115</v>
      </c>
      <c r="B20" s="10">
        <v>3</v>
      </c>
      <c r="C20" s="21">
        <v>45615</v>
      </c>
      <c r="D20" s="22" t="s">
        <v>102</v>
      </c>
      <c r="E20" s="6" t="s">
        <v>0</v>
      </c>
      <c r="F20" s="23" t="s">
        <v>9</v>
      </c>
      <c r="G20" s="20" t="s">
        <v>10</v>
      </c>
      <c r="H20" s="20">
        <v>3</v>
      </c>
      <c r="I20" s="20">
        <v>6</v>
      </c>
      <c r="J20" s="20" t="s">
        <v>11</v>
      </c>
      <c r="K20" s="20">
        <v>32</v>
      </c>
      <c r="L20" s="16">
        <f t="shared" si="0"/>
        <v>7.333333333333333</v>
      </c>
      <c r="M20" s="20">
        <v>8</v>
      </c>
      <c r="N20" s="20">
        <v>7</v>
      </c>
      <c r="O20" s="20">
        <v>7</v>
      </c>
      <c r="P20" s="30" t="s">
        <v>120</v>
      </c>
    </row>
    <row r="21" spans="1:16" s="3" customFormat="1" ht="111">
      <c r="A21" s="20" t="s">
        <v>115</v>
      </c>
      <c r="B21" s="10">
        <v>4</v>
      </c>
      <c r="C21" s="21">
        <v>45623</v>
      </c>
      <c r="D21" s="22" t="s">
        <v>105</v>
      </c>
      <c r="E21" s="6" t="s">
        <v>36</v>
      </c>
      <c r="F21" s="23" t="s">
        <v>16</v>
      </c>
      <c r="G21" s="20" t="s">
        <v>32</v>
      </c>
      <c r="H21" s="20">
        <v>3</v>
      </c>
      <c r="I21" s="20">
        <v>10</v>
      </c>
      <c r="J21" s="20" t="s">
        <v>14</v>
      </c>
      <c r="K21" s="20">
        <v>34</v>
      </c>
      <c r="L21" s="16">
        <f t="shared" si="0"/>
        <v>7.333333333333333</v>
      </c>
      <c r="M21" s="20">
        <v>8</v>
      </c>
      <c r="N21" s="20">
        <v>7</v>
      </c>
      <c r="O21" s="20">
        <v>7</v>
      </c>
      <c r="P21" s="30" t="s">
        <v>121</v>
      </c>
    </row>
    <row r="22" spans="1:16" s="3" customFormat="1" ht="124.9">
      <c r="A22" s="20" t="s">
        <v>115</v>
      </c>
      <c r="B22" s="10">
        <v>5</v>
      </c>
      <c r="C22" s="21">
        <v>45615</v>
      </c>
      <c r="D22" s="22" t="s">
        <v>113</v>
      </c>
      <c r="E22" s="6" t="s">
        <v>53</v>
      </c>
      <c r="F22" s="23" t="s">
        <v>31</v>
      </c>
      <c r="G22" s="20" t="s">
        <v>54</v>
      </c>
      <c r="H22" s="20">
        <v>1</v>
      </c>
      <c r="I22" s="20">
        <v>1</v>
      </c>
      <c r="J22" s="20" t="s">
        <v>14</v>
      </c>
      <c r="K22" s="20">
        <v>33</v>
      </c>
      <c r="L22" s="16">
        <f t="shared" si="0"/>
        <v>7.666666666666667</v>
      </c>
      <c r="M22" s="20">
        <v>8</v>
      </c>
      <c r="N22" s="20">
        <v>7</v>
      </c>
      <c r="O22" s="20">
        <v>8</v>
      </c>
      <c r="P22" s="30" t="s">
        <v>122</v>
      </c>
    </row>
    <row r="23" spans="1:16" s="3" customFormat="1" ht="138.75">
      <c r="A23" s="20" t="s">
        <v>115</v>
      </c>
      <c r="B23" s="10">
        <v>6</v>
      </c>
      <c r="C23" s="21">
        <v>45623</v>
      </c>
      <c r="D23" s="22" t="s">
        <v>86</v>
      </c>
      <c r="E23" s="6" t="s">
        <v>15</v>
      </c>
      <c r="F23" s="23" t="s">
        <v>16</v>
      </c>
      <c r="G23" s="23" t="s">
        <v>17</v>
      </c>
      <c r="H23" s="20">
        <v>3</v>
      </c>
      <c r="I23" s="20">
        <v>11</v>
      </c>
      <c r="J23" s="20" t="s">
        <v>11</v>
      </c>
      <c r="K23" s="20">
        <v>37</v>
      </c>
      <c r="L23" s="16">
        <f t="shared" si="0"/>
        <v>8</v>
      </c>
      <c r="M23" s="20">
        <v>8.5</v>
      </c>
      <c r="N23" s="20">
        <v>8</v>
      </c>
      <c r="O23" s="20">
        <v>7.5</v>
      </c>
      <c r="P23" s="30" t="s">
        <v>123</v>
      </c>
    </row>
    <row r="24" spans="1:16" s="3" customFormat="1" ht="138.75">
      <c r="A24" s="6" t="s">
        <v>28</v>
      </c>
      <c r="B24" s="10">
        <v>1</v>
      </c>
      <c r="C24" s="11">
        <v>45582</v>
      </c>
      <c r="D24" s="25" t="s">
        <v>124</v>
      </c>
      <c r="E24" s="12" t="s">
        <v>25</v>
      </c>
      <c r="F24" s="12" t="s">
        <v>26</v>
      </c>
      <c r="G24" s="13" t="s">
        <v>27</v>
      </c>
      <c r="H24" s="14">
        <v>1</v>
      </c>
      <c r="I24" s="15">
        <v>2</v>
      </c>
      <c r="J24" s="10" t="s">
        <v>11</v>
      </c>
      <c r="K24" s="16">
        <v>22</v>
      </c>
      <c r="L24" s="16">
        <f t="shared" si="0"/>
        <v>8.1666666666666661</v>
      </c>
      <c r="M24" s="6">
        <v>9</v>
      </c>
      <c r="N24" s="6">
        <v>8</v>
      </c>
      <c r="O24" s="6">
        <v>7.5</v>
      </c>
      <c r="P24" s="17" t="s">
        <v>125</v>
      </c>
    </row>
    <row r="25" spans="1:16" s="3" customFormat="1" ht="152.65">
      <c r="A25" s="6" t="s">
        <v>28</v>
      </c>
      <c r="B25" s="10">
        <v>2</v>
      </c>
      <c r="C25" s="11">
        <v>45582</v>
      </c>
      <c r="D25" s="25" t="s">
        <v>126</v>
      </c>
      <c r="E25" s="12" t="s">
        <v>33</v>
      </c>
      <c r="F25" s="12" t="s">
        <v>31</v>
      </c>
      <c r="G25" s="13" t="s">
        <v>20</v>
      </c>
      <c r="H25" s="14">
        <v>2</v>
      </c>
      <c r="I25" s="15">
        <v>2</v>
      </c>
      <c r="J25" s="10" t="s">
        <v>11</v>
      </c>
      <c r="K25" s="16">
        <v>34</v>
      </c>
      <c r="L25" s="16">
        <f t="shared" si="0"/>
        <v>8.5</v>
      </c>
      <c r="M25" s="6">
        <v>9.5</v>
      </c>
      <c r="N25" s="6">
        <v>8.5</v>
      </c>
      <c r="O25" s="6">
        <v>7.5</v>
      </c>
      <c r="P25" s="17" t="s">
        <v>127</v>
      </c>
    </row>
    <row r="26" spans="1:16" s="3" customFormat="1" ht="83.25">
      <c r="A26" s="6" t="s">
        <v>29</v>
      </c>
      <c r="B26" s="10">
        <v>1</v>
      </c>
      <c r="C26" s="11">
        <v>45593</v>
      </c>
      <c r="D26" s="24" t="s">
        <v>128</v>
      </c>
      <c r="E26" s="12" t="s">
        <v>25</v>
      </c>
      <c r="F26" s="12" t="s">
        <v>26</v>
      </c>
      <c r="G26" s="10" t="s">
        <v>27</v>
      </c>
      <c r="H26" s="14">
        <v>1</v>
      </c>
      <c r="I26" s="6">
        <v>2</v>
      </c>
      <c r="J26" s="10" t="s">
        <v>11</v>
      </c>
      <c r="K26" s="16">
        <v>22</v>
      </c>
      <c r="L26" s="16">
        <f t="shared" si="0"/>
        <v>9.1333333333333329</v>
      </c>
      <c r="M26" s="6">
        <v>9.1</v>
      </c>
      <c r="N26" s="6">
        <v>9.1999999999999993</v>
      </c>
      <c r="O26" s="6">
        <v>9.1</v>
      </c>
      <c r="P26" s="17" t="s">
        <v>129</v>
      </c>
    </row>
    <row r="27" spans="1:16" s="3" customFormat="1" ht="166.5">
      <c r="A27" s="6" t="s">
        <v>29</v>
      </c>
      <c r="B27" s="10">
        <v>2</v>
      </c>
      <c r="C27" s="11">
        <v>45593</v>
      </c>
      <c r="D27" s="24" t="s">
        <v>130</v>
      </c>
      <c r="E27" s="12" t="s">
        <v>45</v>
      </c>
      <c r="F27" s="12" t="s">
        <v>26</v>
      </c>
      <c r="G27" s="10" t="s">
        <v>46</v>
      </c>
      <c r="H27" s="14">
        <v>3</v>
      </c>
      <c r="I27" s="6">
        <v>4</v>
      </c>
      <c r="J27" s="10" t="s">
        <v>11</v>
      </c>
      <c r="K27" s="16">
        <v>28</v>
      </c>
      <c r="L27" s="16">
        <f t="shared" si="0"/>
        <v>9.1333333333333329</v>
      </c>
      <c r="M27" s="6">
        <v>9.1</v>
      </c>
      <c r="N27" s="6">
        <v>9.1</v>
      </c>
      <c r="O27" s="6">
        <v>9.1999999999999993</v>
      </c>
      <c r="P27" s="17" t="s">
        <v>131</v>
      </c>
    </row>
    <row r="28" spans="1:16" s="3" customFormat="1" ht="55.5">
      <c r="A28" s="6" t="s">
        <v>29</v>
      </c>
      <c r="B28" s="10">
        <v>3</v>
      </c>
      <c r="C28" s="11">
        <v>45593</v>
      </c>
      <c r="D28" s="24" t="s">
        <v>132</v>
      </c>
      <c r="E28" s="12" t="s">
        <v>33</v>
      </c>
      <c r="F28" s="12" t="s">
        <v>31</v>
      </c>
      <c r="G28" s="10" t="s">
        <v>20</v>
      </c>
      <c r="H28" s="14">
        <v>2</v>
      </c>
      <c r="I28" s="6">
        <v>2</v>
      </c>
      <c r="J28" s="10" t="s">
        <v>11</v>
      </c>
      <c r="K28" s="16">
        <v>34</v>
      </c>
      <c r="L28" s="16">
        <f t="shared" si="0"/>
        <v>9.1</v>
      </c>
      <c r="M28" s="6">
        <v>9.1</v>
      </c>
      <c r="N28" s="6">
        <v>9.3000000000000007</v>
      </c>
      <c r="O28" s="6">
        <v>8.9</v>
      </c>
      <c r="P28" s="17" t="s">
        <v>133</v>
      </c>
    </row>
    <row r="29" spans="1:16" s="3" customFormat="1" ht="97.15">
      <c r="A29" s="6" t="s">
        <v>29</v>
      </c>
      <c r="B29" s="10">
        <v>4</v>
      </c>
      <c r="C29" s="11">
        <v>45593</v>
      </c>
      <c r="D29" s="24" t="s">
        <v>134</v>
      </c>
      <c r="E29" s="12" t="s">
        <v>47</v>
      </c>
      <c r="F29" s="12" t="s">
        <v>48</v>
      </c>
      <c r="G29" s="10" t="s">
        <v>49</v>
      </c>
      <c r="H29" s="14">
        <v>1</v>
      </c>
      <c r="I29" s="6">
        <v>1</v>
      </c>
      <c r="J29" s="10" t="s">
        <v>14</v>
      </c>
      <c r="K29" s="16">
        <v>28</v>
      </c>
      <c r="L29" s="16">
        <f t="shared" si="0"/>
        <v>8.9333333333333336</v>
      </c>
      <c r="M29" s="6">
        <v>8.9</v>
      </c>
      <c r="N29" s="6">
        <v>8.9</v>
      </c>
      <c r="O29" s="6">
        <v>9</v>
      </c>
      <c r="P29" s="17" t="s">
        <v>135</v>
      </c>
    </row>
    <row r="30" spans="1:16" s="3" customFormat="1" ht="97.15">
      <c r="A30" s="6" t="s">
        <v>29</v>
      </c>
      <c r="B30" s="10">
        <v>5</v>
      </c>
      <c r="C30" s="11">
        <v>45593</v>
      </c>
      <c r="D30" s="24" t="s">
        <v>136</v>
      </c>
      <c r="E30" s="12" t="s">
        <v>67</v>
      </c>
      <c r="F30" s="12" t="s">
        <v>48</v>
      </c>
      <c r="G30" s="10" t="s">
        <v>68</v>
      </c>
      <c r="H30" s="14">
        <v>3</v>
      </c>
      <c r="I30" s="6">
        <v>5</v>
      </c>
      <c r="J30" s="10" t="s">
        <v>11</v>
      </c>
      <c r="K30" s="16">
        <v>30</v>
      </c>
      <c r="L30" s="16">
        <f t="shared" si="0"/>
        <v>9</v>
      </c>
      <c r="M30" s="6">
        <v>9.1</v>
      </c>
      <c r="N30" s="6">
        <v>8.8000000000000007</v>
      </c>
      <c r="O30" s="6">
        <v>9.1</v>
      </c>
      <c r="P30" s="17" t="s">
        <v>137</v>
      </c>
    </row>
    <row r="31" spans="1:16" ht="83.25">
      <c r="A31" s="6" t="s">
        <v>29</v>
      </c>
      <c r="B31" s="10">
        <v>6</v>
      </c>
      <c r="C31" s="11">
        <v>45593</v>
      </c>
      <c r="D31" s="28" t="s">
        <v>138</v>
      </c>
      <c r="E31" s="12" t="s">
        <v>41</v>
      </c>
      <c r="F31" s="12" t="s">
        <v>19</v>
      </c>
      <c r="G31" s="10" t="s">
        <v>42</v>
      </c>
      <c r="H31" s="14">
        <v>2</v>
      </c>
      <c r="I31" s="6">
        <v>2</v>
      </c>
      <c r="J31" s="10" t="s">
        <v>14</v>
      </c>
      <c r="K31" s="16">
        <v>26</v>
      </c>
      <c r="L31" s="16">
        <f t="shared" si="0"/>
        <v>9.1</v>
      </c>
      <c r="M31" s="6">
        <v>9.1</v>
      </c>
      <c r="N31" s="6">
        <v>9.1</v>
      </c>
      <c r="O31" s="6">
        <v>9.1</v>
      </c>
      <c r="P31" s="17" t="s">
        <v>139</v>
      </c>
    </row>
    <row r="32" spans="1:16" ht="152.65">
      <c r="A32" s="6" t="s">
        <v>29</v>
      </c>
      <c r="B32" s="10">
        <v>7</v>
      </c>
      <c r="C32" s="11">
        <v>45614</v>
      </c>
      <c r="D32" s="28" t="s">
        <v>140</v>
      </c>
      <c r="E32" s="12" t="s">
        <v>141</v>
      </c>
      <c r="F32" s="12" t="s">
        <v>61</v>
      </c>
      <c r="G32" s="10" t="s">
        <v>62</v>
      </c>
      <c r="H32" s="14">
        <v>3</v>
      </c>
      <c r="I32" s="6">
        <v>11</v>
      </c>
      <c r="J32" s="10" t="s">
        <v>14</v>
      </c>
      <c r="K32" s="16">
        <v>33</v>
      </c>
      <c r="L32" s="16">
        <f t="shared" si="0"/>
        <v>9.2333333333333325</v>
      </c>
      <c r="M32" s="6">
        <v>9.1999999999999993</v>
      </c>
      <c r="N32" s="6">
        <v>9.3000000000000007</v>
      </c>
      <c r="O32" s="6">
        <v>9.1999999999999993</v>
      </c>
      <c r="P32" s="17" t="s">
        <v>142</v>
      </c>
    </row>
    <row r="33" spans="1:16" ht="55.5">
      <c r="A33" s="6" t="s">
        <v>40</v>
      </c>
      <c r="B33" s="10">
        <v>1</v>
      </c>
      <c r="C33" s="11">
        <v>45594</v>
      </c>
      <c r="D33" s="26" t="s">
        <v>126</v>
      </c>
      <c r="E33" s="12" t="s">
        <v>66</v>
      </c>
      <c r="F33" s="12" t="s">
        <v>48</v>
      </c>
      <c r="G33" s="13" t="s">
        <v>57</v>
      </c>
      <c r="H33" s="14">
        <v>1</v>
      </c>
      <c r="I33" s="15">
        <v>10</v>
      </c>
      <c r="J33" s="10" t="s">
        <v>11</v>
      </c>
      <c r="K33" s="16">
        <v>36</v>
      </c>
      <c r="L33" s="16">
        <f t="shared" si="0"/>
        <v>9.1666666666666661</v>
      </c>
      <c r="M33" s="6">
        <v>9</v>
      </c>
      <c r="N33" s="6">
        <v>9.5</v>
      </c>
      <c r="O33" s="6">
        <v>9</v>
      </c>
      <c r="P33" s="17" t="s">
        <v>143</v>
      </c>
    </row>
    <row r="34" spans="1:16" ht="55.5">
      <c r="A34" s="6" t="s">
        <v>40</v>
      </c>
      <c r="B34" s="10">
        <v>2</v>
      </c>
      <c r="C34" s="11">
        <v>45594</v>
      </c>
      <c r="D34" s="26" t="s">
        <v>79</v>
      </c>
      <c r="E34" s="12" t="s">
        <v>47</v>
      </c>
      <c r="F34" s="12" t="s">
        <v>48</v>
      </c>
      <c r="G34" s="13" t="s">
        <v>49</v>
      </c>
      <c r="H34" s="14">
        <v>1</v>
      </c>
      <c r="I34" s="15">
        <v>1</v>
      </c>
      <c r="J34" s="10" t="s">
        <v>14</v>
      </c>
      <c r="K34" s="16">
        <v>28</v>
      </c>
      <c r="L34" s="16">
        <f t="shared" si="0"/>
        <v>9</v>
      </c>
      <c r="M34" s="6">
        <v>9.5</v>
      </c>
      <c r="N34" s="6">
        <v>9</v>
      </c>
      <c r="O34" s="6">
        <v>8.5</v>
      </c>
      <c r="P34" s="17" t="s">
        <v>144</v>
      </c>
    </row>
    <row r="35" spans="1:16" ht="55.5">
      <c r="A35" s="6" t="s">
        <v>40</v>
      </c>
      <c r="B35" s="10">
        <v>3</v>
      </c>
      <c r="C35" s="11">
        <v>45594</v>
      </c>
      <c r="D35" s="26" t="s">
        <v>81</v>
      </c>
      <c r="E35" s="12" t="s">
        <v>37</v>
      </c>
      <c r="F35" s="12" t="s">
        <v>19</v>
      </c>
      <c r="G35" s="13" t="s">
        <v>38</v>
      </c>
      <c r="H35" s="14">
        <v>3</v>
      </c>
      <c r="I35" s="15">
        <v>11</v>
      </c>
      <c r="J35" s="10" t="s">
        <v>14</v>
      </c>
      <c r="K35" s="16">
        <v>37</v>
      </c>
      <c r="L35" s="16">
        <f t="shared" si="0"/>
        <v>9.3333333333333339</v>
      </c>
      <c r="M35" s="6">
        <v>9.5</v>
      </c>
      <c r="N35" s="6">
        <v>9.5</v>
      </c>
      <c r="O35" s="6">
        <v>9</v>
      </c>
      <c r="P35" s="17" t="s">
        <v>145</v>
      </c>
    </row>
    <row r="36" spans="1:16" ht="41.65">
      <c r="A36" s="6" t="s">
        <v>40</v>
      </c>
      <c r="B36" s="10">
        <v>4</v>
      </c>
      <c r="C36" s="11">
        <v>45594</v>
      </c>
      <c r="D36" s="26" t="s">
        <v>146</v>
      </c>
      <c r="E36" s="12" t="s">
        <v>41</v>
      </c>
      <c r="F36" s="12" t="s">
        <v>19</v>
      </c>
      <c r="G36" s="13" t="s">
        <v>42</v>
      </c>
      <c r="H36" s="14">
        <v>2</v>
      </c>
      <c r="I36" s="15">
        <v>2</v>
      </c>
      <c r="J36" s="10" t="s">
        <v>14</v>
      </c>
      <c r="K36" s="16">
        <v>26</v>
      </c>
      <c r="L36" s="16">
        <f t="shared" si="0"/>
        <v>8.3333333333333339</v>
      </c>
      <c r="M36" s="6">
        <v>8.5</v>
      </c>
      <c r="N36" s="6">
        <v>8.5</v>
      </c>
      <c r="O36" s="6">
        <v>8</v>
      </c>
      <c r="P36" s="17" t="s">
        <v>147</v>
      </c>
    </row>
    <row r="37" spans="1:16" ht="83.25">
      <c r="A37" s="6" t="s">
        <v>40</v>
      </c>
      <c r="B37" s="10">
        <v>5</v>
      </c>
      <c r="C37" s="11">
        <v>45604</v>
      </c>
      <c r="D37" s="31" t="s">
        <v>146</v>
      </c>
      <c r="E37" s="12" t="s">
        <v>60</v>
      </c>
      <c r="F37" s="12" t="s">
        <v>61</v>
      </c>
      <c r="G37" s="13" t="s">
        <v>62</v>
      </c>
      <c r="H37" s="14">
        <v>3</v>
      </c>
      <c r="I37" s="15">
        <v>11</v>
      </c>
      <c r="J37" s="10" t="s">
        <v>14</v>
      </c>
      <c r="K37" s="16">
        <v>33</v>
      </c>
      <c r="L37" s="16">
        <f t="shared" si="0"/>
        <v>9.3333333333333339</v>
      </c>
      <c r="M37" s="6">
        <v>9.5</v>
      </c>
      <c r="N37" s="6">
        <v>9.5</v>
      </c>
      <c r="O37" s="6">
        <v>9</v>
      </c>
      <c r="P37" s="17" t="s">
        <v>148</v>
      </c>
    </row>
    <row r="38" spans="1:16" ht="41.65">
      <c r="A38" s="6" t="s">
        <v>21</v>
      </c>
      <c r="B38" s="10">
        <v>1</v>
      </c>
      <c r="C38" s="11">
        <v>45590</v>
      </c>
      <c r="D38" s="27" t="s">
        <v>99</v>
      </c>
      <c r="E38" s="12" t="s">
        <v>35</v>
      </c>
      <c r="F38" s="12" t="s">
        <v>19</v>
      </c>
      <c r="G38" s="13" t="s">
        <v>13</v>
      </c>
      <c r="H38" s="14">
        <v>1</v>
      </c>
      <c r="I38" s="15">
        <v>12</v>
      </c>
      <c r="J38" s="10" t="s">
        <v>14</v>
      </c>
      <c r="K38" s="16">
        <v>50</v>
      </c>
      <c r="L38" s="16">
        <f t="shared" si="0"/>
        <v>9.5</v>
      </c>
      <c r="M38" s="6">
        <v>9.5</v>
      </c>
      <c r="N38" s="6">
        <v>9.5</v>
      </c>
      <c r="O38" s="6">
        <v>9.5</v>
      </c>
      <c r="P38" s="17" t="s">
        <v>149</v>
      </c>
    </row>
    <row r="39" spans="1:16" ht="55.5">
      <c r="A39" s="6" t="s">
        <v>21</v>
      </c>
      <c r="B39" s="10">
        <v>2</v>
      </c>
      <c r="C39" s="11">
        <v>45590</v>
      </c>
      <c r="D39" s="27" t="s">
        <v>89</v>
      </c>
      <c r="E39" s="12" t="s">
        <v>63</v>
      </c>
      <c r="F39" s="12" t="s">
        <v>19</v>
      </c>
      <c r="G39" s="13" t="s">
        <v>64</v>
      </c>
      <c r="H39" s="14">
        <v>1</v>
      </c>
      <c r="I39" s="15">
        <v>1</v>
      </c>
      <c r="J39" s="10" t="s">
        <v>11</v>
      </c>
      <c r="K39" s="16">
        <v>26</v>
      </c>
      <c r="L39" s="16">
        <f t="shared" si="0"/>
        <v>8.3333333333333339</v>
      </c>
      <c r="M39" s="6">
        <v>8.5</v>
      </c>
      <c r="N39" s="6">
        <v>8.5</v>
      </c>
      <c r="O39" s="6">
        <v>8</v>
      </c>
      <c r="P39" s="17" t="s">
        <v>150</v>
      </c>
    </row>
    <row r="40" spans="1:16" ht="83.25">
      <c r="A40" s="6" t="s">
        <v>21</v>
      </c>
      <c r="B40" s="10">
        <v>3</v>
      </c>
      <c r="C40" s="11">
        <v>45590</v>
      </c>
      <c r="D40" s="27" t="s">
        <v>109</v>
      </c>
      <c r="E40" s="12" t="s">
        <v>18</v>
      </c>
      <c r="F40" s="12" t="s">
        <v>19</v>
      </c>
      <c r="G40" s="13" t="s">
        <v>20</v>
      </c>
      <c r="H40" s="14">
        <v>2</v>
      </c>
      <c r="I40" s="15">
        <v>3</v>
      </c>
      <c r="J40" s="10" t="s">
        <v>11</v>
      </c>
      <c r="K40" s="16">
        <v>45</v>
      </c>
      <c r="L40" s="16">
        <f t="shared" si="0"/>
        <v>9.3333333333333339</v>
      </c>
      <c r="M40" s="6">
        <v>9.5</v>
      </c>
      <c r="N40" s="6">
        <v>9.5</v>
      </c>
      <c r="O40" s="6">
        <v>9</v>
      </c>
      <c r="P40" s="17" t="s">
        <v>151</v>
      </c>
    </row>
    <row r="41" spans="1:16" ht="69.400000000000006">
      <c r="A41" s="6" t="s">
        <v>21</v>
      </c>
      <c r="B41" s="10">
        <v>4</v>
      </c>
      <c r="C41" s="11">
        <v>45590</v>
      </c>
      <c r="D41" s="27" t="s">
        <v>111</v>
      </c>
      <c r="E41" s="12" t="s">
        <v>43</v>
      </c>
      <c r="F41" s="12" t="s">
        <v>26</v>
      </c>
      <c r="G41" s="13" t="s">
        <v>44</v>
      </c>
      <c r="H41" s="14">
        <v>3</v>
      </c>
      <c r="I41" s="15">
        <v>11</v>
      </c>
      <c r="J41" s="10" t="s">
        <v>11</v>
      </c>
      <c r="K41" s="16">
        <v>42</v>
      </c>
      <c r="L41" s="16">
        <f t="shared" si="0"/>
        <v>9.3333333333333339</v>
      </c>
      <c r="M41" s="6">
        <v>9.5</v>
      </c>
      <c r="N41" s="6">
        <v>9.5</v>
      </c>
      <c r="O41" s="6">
        <v>9</v>
      </c>
      <c r="P41" s="17" t="s">
        <v>152</v>
      </c>
    </row>
    <row r="42" spans="1:16" ht="27.75">
      <c r="A42" s="6" t="s">
        <v>21</v>
      </c>
      <c r="B42" s="10">
        <v>5</v>
      </c>
      <c r="C42" s="11">
        <v>45590</v>
      </c>
      <c r="D42" s="27" t="s">
        <v>91</v>
      </c>
      <c r="E42" s="12" t="s">
        <v>65</v>
      </c>
      <c r="F42" s="12" t="s">
        <v>26</v>
      </c>
      <c r="G42" s="13" t="s">
        <v>46</v>
      </c>
      <c r="H42" s="14">
        <v>1</v>
      </c>
      <c r="I42" s="15">
        <v>1</v>
      </c>
      <c r="J42" s="10" t="s">
        <v>11</v>
      </c>
      <c r="K42" s="16">
        <v>23</v>
      </c>
      <c r="L42" s="16">
        <f t="shared" si="0"/>
        <v>8.3333333333333339</v>
      </c>
      <c r="M42" s="6">
        <v>8.5</v>
      </c>
      <c r="N42" s="6">
        <v>8.5</v>
      </c>
      <c r="O42" s="6">
        <v>8</v>
      </c>
      <c r="P42" s="17" t="s">
        <v>153</v>
      </c>
    </row>
    <row r="43" spans="1:16" ht="69.400000000000006">
      <c r="A43" s="6" t="s">
        <v>21</v>
      </c>
      <c r="B43" s="10">
        <v>6</v>
      </c>
      <c r="C43" s="11">
        <v>45590</v>
      </c>
      <c r="D43" s="27" t="s">
        <v>93</v>
      </c>
      <c r="E43" s="12" t="s">
        <v>45</v>
      </c>
      <c r="F43" s="12" t="s">
        <v>26</v>
      </c>
      <c r="G43" s="13" t="s">
        <v>46</v>
      </c>
      <c r="H43" s="14">
        <v>3</v>
      </c>
      <c r="I43" s="15">
        <v>4</v>
      </c>
      <c r="J43" s="10" t="s">
        <v>11</v>
      </c>
      <c r="K43" s="16">
        <v>28</v>
      </c>
      <c r="L43" s="16">
        <f t="shared" si="0"/>
        <v>8.3333333333333339</v>
      </c>
      <c r="M43" s="6">
        <v>8.5</v>
      </c>
      <c r="N43" s="6">
        <v>8.5</v>
      </c>
      <c r="O43" s="6">
        <v>8</v>
      </c>
      <c r="P43" s="17" t="s">
        <v>154</v>
      </c>
    </row>
    <row r="44" spans="1:16" ht="41.65">
      <c r="A44" s="6" t="s">
        <v>21</v>
      </c>
      <c r="B44" s="10">
        <v>7</v>
      </c>
      <c r="C44" s="11">
        <v>45590</v>
      </c>
      <c r="D44" s="27" t="s">
        <v>155</v>
      </c>
      <c r="E44" s="12" t="s">
        <v>58</v>
      </c>
      <c r="F44" s="12" t="s">
        <v>56</v>
      </c>
      <c r="G44" s="13" t="s">
        <v>20</v>
      </c>
      <c r="H44" s="14">
        <v>3</v>
      </c>
      <c r="I44" s="15">
        <v>11</v>
      </c>
      <c r="J44" s="10" t="s">
        <v>14</v>
      </c>
      <c r="K44" s="16">
        <v>52</v>
      </c>
      <c r="L44" s="16">
        <f t="shared" si="0"/>
        <v>9.5</v>
      </c>
      <c r="M44" s="6">
        <v>9.5</v>
      </c>
      <c r="N44" s="6">
        <v>9.5</v>
      </c>
      <c r="O44" s="6">
        <v>9.5</v>
      </c>
      <c r="P44" s="17" t="s">
        <v>156</v>
      </c>
    </row>
    <row r="45" spans="1:16" ht="55.5">
      <c r="A45" s="6" t="s">
        <v>21</v>
      </c>
      <c r="B45" s="10">
        <v>8</v>
      </c>
      <c r="C45" s="11">
        <v>45590</v>
      </c>
      <c r="D45" s="27" t="s">
        <v>157</v>
      </c>
      <c r="E45" s="12" t="s">
        <v>55</v>
      </c>
      <c r="F45" s="12" t="s">
        <v>56</v>
      </c>
      <c r="G45" s="13" t="s">
        <v>57</v>
      </c>
      <c r="H45" s="14">
        <v>3</v>
      </c>
      <c r="I45" s="15">
        <v>13</v>
      </c>
      <c r="J45" s="10" t="s">
        <v>11</v>
      </c>
      <c r="K45" s="16">
        <v>38</v>
      </c>
      <c r="L45" s="16">
        <f t="shared" si="0"/>
        <v>9.3333333333333339</v>
      </c>
      <c r="M45" s="6">
        <v>9.5</v>
      </c>
      <c r="N45" s="6">
        <v>9.5</v>
      </c>
      <c r="O45" s="6">
        <v>9</v>
      </c>
      <c r="P45" s="17" t="s">
        <v>158</v>
      </c>
    </row>
    <row r="46" spans="1:16" ht="111">
      <c r="A46" s="6" t="s">
        <v>21</v>
      </c>
      <c r="B46" s="10">
        <v>9</v>
      </c>
      <c r="C46" s="11">
        <v>45590</v>
      </c>
      <c r="D46" s="26" t="s">
        <v>159</v>
      </c>
      <c r="E46" s="12" t="s">
        <v>69</v>
      </c>
      <c r="F46" s="12" t="s">
        <v>56</v>
      </c>
      <c r="G46" s="13" t="s">
        <v>20</v>
      </c>
      <c r="H46" s="14">
        <v>3</v>
      </c>
      <c r="I46" s="15">
        <v>11</v>
      </c>
      <c r="J46" s="10" t="s">
        <v>14</v>
      </c>
      <c r="K46" s="16">
        <v>39</v>
      </c>
      <c r="L46" s="16">
        <f t="shared" si="0"/>
        <v>9.3333333333333339</v>
      </c>
      <c r="M46" s="6">
        <v>9.5</v>
      </c>
      <c r="N46" s="6">
        <v>9.5</v>
      </c>
      <c r="O46" s="6">
        <v>9</v>
      </c>
      <c r="P46" s="17" t="s">
        <v>160</v>
      </c>
    </row>
    <row r="47" spans="1:16" ht="27.75">
      <c r="A47" s="6" t="s">
        <v>21</v>
      </c>
      <c r="B47" s="10">
        <v>10</v>
      </c>
      <c r="C47" s="11">
        <v>45590</v>
      </c>
      <c r="D47" s="27" t="s">
        <v>161</v>
      </c>
      <c r="E47" s="12" t="s">
        <v>22</v>
      </c>
      <c r="F47" s="12" t="s">
        <v>23</v>
      </c>
      <c r="G47" s="13" t="s">
        <v>24</v>
      </c>
      <c r="H47" s="14">
        <v>3</v>
      </c>
      <c r="I47" s="15">
        <v>6</v>
      </c>
      <c r="J47" s="10" t="s">
        <v>11</v>
      </c>
      <c r="K47" s="16">
        <v>32</v>
      </c>
      <c r="L47" s="16">
        <f t="shared" si="0"/>
        <v>9.3333333333333339</v>
      </c>
      <c r="M47" s="6">
        <v>9.5</v>
      </c>
      <c r="N47" s="6">
        <v>9.5</v>
      </c>
      <c r="O47" s="6">
        <v>9</v>
      </c>
      <c r="P47" s="17" t="s">
        <v>162</v>
      </c>
    </row>
    <row r="48" spans="1:16" ht="55.5">
      <c r="A48" s="6" t="s">
        <v>21</v>
      </c>
      <c r="B48" s="10">
        <v>11</v>
      </c>
      <c r="C48" s="11">
        <v>45590</v>
      </c>
      <c r="D48" s="27" t="s">
        <v>163</v>
      </c>
      <c r="E48" s="12" t="s">
        <v>30</v>
      </c>
      <c r="F48" s="12" t="s">
        <v>31</v>
      </c>
      <c r="G48" s="13" t="s">
        <v>32</v>
      </c>
      <c r="H48" s="14">
        <v>2</v>
      </c>
      <c r="I48" s="15">
        <v>2</v>
      </c>
      <c r="J48" s="10" t="s">
        <v>11</v>
      </c>
      <c r="K48" s="16">
        <v>38</v>
      </c>
      <c r="L48" s="16">
        <f t="shared" si="0"/>
        <v>9.3333333333333339</v>
      </c>
      <c r="M48" s="6">
        <v>9.5</v>
      </c>
      <c r="N48" s="6">
        <v>9</v>
      </c>
      <c r="O48" s="6">
        <v>9.5</v>
      </c>
      <c r="P48" s="17" t="s">
        <v>164</v>
      </c>
    </row>
    <row r="49" spans="1:16" ht="41.65">
      <c r="A49" s="6" t="s">
        <v>21</v>
      </c>
      <c r="B49" s="10">
        <v>12</v>
      </c>
      <c r="C49" s="11">
        <v>45590</v>
      </c>
      <c r="D49" s="27" t="s">
        <v>165</v>
      </c>
      <c r="E49" s="12" t="s">
        <v>59</v>
      </c>
      <c r="F49" s="12" t="s">
        <v>56</v>
      </c>
      <c r="G49" s="13" t="s">
        <v>24</v>
      </c>
      <c r="H49" s="14">
        <v>3</v>
      </c>
      <c r="I49" s="15">
        <v>7</v>
      </c>
      <c r="J49" s="10" t="s">
        <v>11</v>
      </c>
      <c r="K49" s="16">
        <v>34</v>
      </c>
      <c r="L49" s="16">
        <f t="shared" si="0"/>
        <v>8.6666666666666661</v>
      </c>
      <c r="M49" s="6">
        <v>9</v>
      </c>
      <c r="N49" s="6">
        <v>8.5</v>
      </c>
      <c r="O49" s="6">
        <v>8.5</v>
      </c>
      <c r="P49" s="17" t="s">
        <v>166</v>
      </c>
    </row>
    <row r="50" spans="1:16" ht="55.5">
      <c r="A50" s="6" t="s">
        <v>21</v>
      </c>
      <c r="B50" s="10">
        <v>13</v>
      </c>
      <c r="C50" s="11">
        <v>45596</v>
      </c>
      <c r="D50" s="27" t="s">
        <v>167</v>
      </c>
      <c r="E50" s="12" t="s">
        <v>34</v>
      </c>
      <c r="F50" s="12" t="s">
        <v>19</v>
      </c>
      <c r="G50" s="13" t="s">
        <v>24</v>
      </c>
      <c r="H50" s="14">
        <v>3</v>
      </c>
      <c r="I50" s="15">
        <v>12</v>
      </c>
      <c r="J50" s="10" t="s">
        <v>14</v>
      </c>
      <c r="K50" s="16">
        <v>35</v>
      </c>
      <c r="L50" s="16">
        <f t="shared" si="0"/>
        <v>8.8333333333333339</v>
      </c>
      <c r="M50" s="6">
        <v>9</v>
      </c>
      <c r="N50" s="6">
        <v>9</v>
      </c>
      <c r="O50" s="6">
        <v>8.5</v>
      </c>
      <c r="P50" s="17" t="s">
        <v>168</v>
      </c>
    </row>
  </sheetData>
  <autoFilter ref="A1:P50" xr:uid="{00000000-0009-0000-0000-000002000000}"/>
  <sortState xmlns:xlrd2="http://schemas.microsoft.com/office/spreadsheetml/2017/richdata2" ref="A2:P50">
    <sortCondition ref="A2:A50"/>
    <sortCondition ref="B2:B50"/>
  </sortState>
  <phoneticPr fontId="14" type="noConversion"/>
  <dataValidations count="1">
    <dataValidation type="list" allowBlank="1" showInputMessage="1" showErrorMessage="1" sqref="J2:J30" xr:uid="{00000000-0002-0000-0200-000000000000}">
      <formula1>"男, 女"</formula1>
    </dataValidation>
  </dataValidations>
  <pageMargins left="0.39305555555555599" right="0.39305555555555599" top="0.66874999999999996" bottom="0.39305555555555599" header="0.5" footer="0.5"/>
  <pageSetup paperSize="9" scale="6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吴同学</vt:lpstr>
      <vt:lpstr>俞同学</vt:lpstr>
      <vt:lpstr>鲁同学</vt:lpstr>
      <vt:lpstr>评分表-专业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Xuying1</dc:creator>
  <cp:lastModifiedBy>张 鰆丹</cp:lastModifiedBy>
  <cp:lastPrinted>2024-12-18T09:12:19Z</cp:lastPrinted>
  <dcterms:created xsi:type="dcterms:W3CDTF">2024-12-03T03:39:00Z</dcterms:created>
  <dcterms:modified xsi:type="dcterms:W3CDTF">2025-08-28T08:18:36Z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88163F7BD76240CAA40AF2DD2210FB14_13</vt:lpwstr>
  </property>
  <property fmtid="{D5CDD505-2E9C-101B-9397-08002B2CF9AE}" pid="3" name="KSOProductBuildVer">
    <vt:lpwstr>2052-12.1.0.19302</vt:lpwstr>
  </property>
  <property fmtid="{D5CDD505-2E9C-101B-9397-08002B2CF9AE}" pid="4" name="CWM91b552208e0711f0800063f3000062f3">
    <vt:lpwstr>CWMZLqVhGDdvxfcFpadE0mGWMMntcJv0bYbGEuWDNoVVCVLVI0XRt1pahRYXn1CAGPM3m+6d6uUbdP0mSHTgyNMlg==</vt:lpwstr>
  </property>
</Properties>
</file>